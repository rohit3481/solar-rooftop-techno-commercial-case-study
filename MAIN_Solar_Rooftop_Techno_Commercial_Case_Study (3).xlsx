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Summary" sheetId="1" state="visible" r:id="rId3"/>
    <sheet name="Read Me" sheetId="2" state="visible" r:id="rId4"/>
    <sheet name="Assumptions" sheetId="3" state="visible" r:id="rId5"/>
    <sheet name="Load &amp; Sizing" sheetId="4" state="visible" r:id="rId6"/>
    <sheet name="Component Selection" sheetId="5" state="visible" r:id="rId7"/>
    <sheet name="BOM &amp; Costing" sheetId="6" state="visible" r:id="rId8"/>
    <sheet name="Savings &amp; Financial" sheetId="7" state="visible" r:id="rId9"/>
    <sheet name="Sensitivity" sheetId="8" state="visible" r:id="rId10"/>
    <sheet name="Alternativ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<sst xmlns="http://schemas.openxmlformats.org/spreadsheetml/2006/main" count="347" uniqueCount="299">
  <si>
    <t xml:space="preserve">5 kWp Grid-Connected Rooftop Solar | Final Summary</t>
  </si>
  <si>
    <t xml:space="preserve">Purpose</t>
  </si>
  <si>
    <t xml:space="preserve">Mock techno-commercial case study</t>
  </si>
  <si>
    <t xml:space="preserve">Built for GET (Technical Sales/BD/PM) interview preparation - not a live customer engagement</t>
  </si>
  <si>
    <t xml:space="preserve">Technical Configuration</t>
  </si>
  <si>
    <t xml:space="preserve">Recommended configuration</t>
  </si>
  <si>
    <t xml:space="preserve">DC system size (kWp)</t>
  </si>
  <si>
    <t xml:space="preserve">Estimated annual generation, Year 1 (kWh)</t>
  </si>
  <si>
    <t xml:space="preserve">Generation yield check (kWh/kWp/yr)</t>
  </si>
  <si>
    <t xml:space="preserve">Commercial Summary</t>
  </si>
  <si>
    <t xml:space="preserve">Total direct project cost (Rs.)</t>
  </si>
  <si>
    <t xml:space="preserve">Gross project price, before subsidy (Rs.)</t>
  </si>
  <si>
    <t xml:space="preserve">PM Surya Ghar CFA applied (Rs.)</t>
  </si>
  <si>
    <t xml:space="preserve">Net customer investment, after subsidy (Rs.)</t>
  </si>
  <si>
    <t xml:space="preserve">Customer Economics</t>
  </si>
  <si>
    <t xml:space="preserve">Net annual savings, Year 1 (Rs.)</t>
  </si>
  <si>
    <t xml:space="preserve">Simple payback (years)</t>
  </si>
  <si>
    <t xml:space="preserve">Approx. 25-year ROI on net investment</t>
  </si>
  <si>
    <t xml:space="preserve">Inverter Selection Note</t>
  </si>
  <si>
    <t xml:space="preserve">A Loom Solar Fusion 63 (6 kW, three-phase) was selected for this 5.175 kWp array, giving a DC/AC ratio of ~0.86 (below the typical 1.1-1.25 EPC target). This is a sizing trade-off made under the assumption of a three-phase customer connection and design headroom - see Component Selection for the full rationale and the single-phase alternative that was considered.</t>
  </si>
  <si>
    <t xml:space="preserve">Solar Rooftop PV | Techno-Commercial Case Study</t>
  </si>
  <si>
    <t xml:space="preserve">A self-directed mock techno-commercial case study for a simulated residential rooftop solar customer, built to demonstrate the requirement-to-proposal workflow used in technical sales/BD roles. Not a live client engagement.</t>
  </si>
  <si>
    <t xml:space="preserve">How to read this workbook</t>
  </si>
  <si>
    <t xml:space="preserve">1. Assumptions          - all input assumptions in one place</t>
  </si>
  <si>
    <t xml:space="preserve">2. Load &amp; Sizing        - why 5.175 kWp was chosen</t>
  </si>
  <si>
    <t xml:space="preserve">3. Component Selection  - module + inverter specs, string compatibility checks, and the sizing rationale (incl. DC/AC ratio)</t>
  </si>
  <si>
    <t xml:space="preserve">4. BOM &amp; Costing        - full bill of materials, project cost, subsidy, net customer investment</t>
  </si>
  <si>
    <t xml:space="preserve">5. Savings &amp; Financial  - annual savings, payback, ROI, 25-year view</t>
  </si>
  <si>
    <t xml:space="preserve">6. Sensitivity          - how tariff / generation / cost swings affect payback</t>
  </si>
  <si>
    <t xml:space="preserve">7. Alternatives         - comparison against 2 other configurations</t>
  </si>
  <si>
    <t xml:space="preserve">8. Final Summary        - one-page rollup, all values LINKED to source sheets (no duplicate hardcoding)</t>
  </si>
  <si>
    <t xml:space="preserve">Legend</t>
  </si>
  <si>
    <t xml:space="preserve">Blue text = editable assumption   |   Black text = formula   |   Yellow fill = key assumption to sanity-check   |   Orange fill = a flagged issue/decision, explained in a note</t>
  </si>
  <si>
    <t xml:space="preserve">IMPORTANT - read before presenting this anywhere</t>
  </si>
  <si>
    <t xml:space="preserve">- This is a MOCK case study using public reference prices and manufacturer datasheets, not a live customer engagement or vendor quotation.</t>
  </si>
  <si>
    <t xml:space="preserve">- Inverter selection: a Loom Solar Fusion 63 (6 kW, three-phase) was selected for this 5.175 kWp array. This gives a DC/AC ratio of ~0.86 (below the typical 1.1-1.25 EPC target), reflecting a design choice to size for the assumed customer's three-phase connection and to build in headroom, rather than tightly optimizing the ratio. A more closely-sized single-phase inverter could be considered instead if the customer's actual connection/equipment availability differs - see Component Selection for the trade-off discussion.</t>
  </si>
  <si>
    <t xml:space="preserve">- BOM, mounting, cabling, protection, and labour costs are engineering estimates anchored to typical Indian residential solar market pricing, not confirmed supplier quotations.</t>
  </si>
  <si>
    <t xml:space="preserve">- PM Surya Ghar subsidy structure (Rs.30,000/kW for first 2kW, Rs.18,000/kW for 3rd kW, capped at Rs.78,000 for systems &gt;=3kW residential) reflects official MNRE guidelines as of Sep 2026.</t>
  </si>
  <si>
    <t xml:space="preserve">Assumptions</t>
  </si>
  <si>
    <t xml:space="preserve">Customer Profile (simulated - clearly an assumption, not real data)</t>
  </si>
  <si>
    <t xml:space="preserve">Customer type</t>
  </si>
  <si>
    <t xml:space="preserve">Urban residential</t>
  </si>
  <si>
    <t xml:space="preserve">Homeowner with independent rooftop access</t>
  </si>
  <si>
    <t xml:space="preserve">Assumption</t>
  </si>
  <si>
    <t xml:space="preserve">Location</t>
  </si>
  <si>
    <t xml:space="preserve">Delhi-NCR (representative)</t>
  </si>
  <si>
    <t xml:space="preserve">Chosen for consistency with Vista's Noida base; irradiation assumption below reflects this region</t>
  </si>
  <si>
    <t xml:space="preserve">Avg. monthly electricity bill</t>
  </si>
  <si>
    <t xml:space="preserve">Used to size the system to a 'higher-consumption home' segment</t>
  </si>
  <si>
    <t xml:space="preserve">Assumed electricity tariff</t>
  </si>
  <si>
    <t xml:space="preserve">Rs./kWh, mid-slab residential tariff typical for a Delhi-NCR high-consumption household</t>
  </si>
  <si>
    <t xml:space="preserve">Monthly consumption (derived)</t>
  </si>
  <si>
    <t xml:space="preserve">Bill / tariff</t>
  </si>
  <si>
    <t xml:space="preserve">Formula</t>
  </si>
  <si>
    <t xml:space="preserve">Usable shadow-free roof area</t>
  </si>
  <si>
    <t xml:space="preserve">550-600 sq ft</t>
  </si>
  <si>
    <t xml:space="preserve">Enough for a ~5 kWp array at typical module footprint (~18 sq ft/module incl. spacing)</t>
  </si>
  <si>
    <t xml:space="preserve">Customer objective</t>
  </si>
  <si>
    <t xml:space="preserve">Reduce electricity bill; moderate upfront cost priority over max ROI</t>
  </si>
  <si>
    <t xml:space="preserve">Drives system sizing and component choice (mid-tier, not premium)</t>
  </si>
  <si>
    <t xml:space="preserve">Electrical connection</t>
  </si>
  <si>
    <t xml:space="preserve">Three-phase (see Component Selection note)</t>
  </si>
  <si>
    <t xml:space="preserve">Required for the corrected inverter pairing (Fusion 63)</t>
  </si>
  <si>
    <t xml:space="preserve">Assumption - flagged</t>
  </si>
  <si>
    <t xml:space="preserve">Technical / Generation Assumptions</t>
  </si>
  <si>
    <t xml:space="preserve">Peak sun hours (Delhi-NCR, representative)</t>
  </si>
  <si>
    <t xml:space="preserve">hrs/day - conservative planning value for the region</t>
  </si>
  <si>
    <t xml:space="preserve">System performance ratio (PR)</t>
  </si>
  <si>
    <t xml:space="preserve">Accounts for module/inverter/temperature/wiring/soiling losses combined - typical range 75-82% for well-maintained rooftop systems in India</t>
  </si>
  <si>
    <t xml:space="preserve">Module degradation (annual, after yr 1)</t>
  </si>
  <si>
    <t xml:space="preserve">0.55%/yr - reflects Waaree's linear performance warranty profile</t>
  </si>
  <si>
    <t xml:space="preserve">O&amp;M cost (annual)</t>
  </si>
  <si>
    <t xml:space="preserve">Cleaning + minor upkeep; on-grid systems have low O&amp;M vs off-grid/hybrid</t>
  </si>
  <si>
    <t xml:space="preserve">Inverter replacement</t>
  </si>
  <si>
    <t xml:space="preserve">Assumed once, year 12</t>
  </si>
  <si>
    <t xml:space="preserve">String inverters typically warrantied 5 yrs, useful life 10-15 yrs</t>
  </si>
  <si>
    <t xml:space="preserve">Self-consumption share of generation</t>
  </si>
  <si>
    <t xml:space="preserve">Rest exported to grid under net metering; daytime household occupancy assumed moderate</t>
  </si>
  <si>
    <t xml:space="preserve">Net metering credit rate (for exported units)</t>
  </si>
  <si>
    <t xml:space="preserve">Rs./kWh - typically at or below retail tariff under most DISCOM net-metering rules</t>
  </si>
  <si>
    <t xml:space="preserve">Government Policy (fact, not assumption)</t>
  </si>
  <si>
    <t xml:space="preserve">PM Surya Ghar CFA - 1st kW</t>
  </si>
  <si>
    <t xml:space="preserve">Rs./kW, official MNRE slab</t>
  </si>
  <si>
    <t xml:space="preserve">Fact</t>
  </si>
  <si>
    <t xml:space="preserve">PM Surya Ghar CFA - 2nd kW</t>
  </si>
  <si>
    <t xml:space="preserve">PM Surya Ghar CFA - 3rd kW</t>
  </si>
  <si>
    <t xml:space="preserve">Max residential CFA (systems &gt;=3kW)</t>
  </si>
  <si>
    <t xml:space="preserve">Flat cap regardless of size beyond 3kW, per MNRE guidelines</t>
  </si>
  <si>
    <t xml:space="preserve">Domestic content requirement</t>
  </si>
  <si>
    <t xml:space="preserve">Yes</t>
  </si>
  <si>
    <t xml:space="preserve">CFA requires domestically manufactured modules/cells - Waaree is domestic, so this system qualifies</t>
  </si>
  <si>
    <t xml:space="preserve">Load &amp; Requirement Analysis / System Sizing</t>
  </si>
  <si>
    <t xml:space="preserve">Step 1: Estimate load from the customer's bill</t>
  </si>
  <si>
    <t xml:space="preserve">Avg. monthly bill (Rs.)</t>
  </si>
  <si>
    <t xml:space="preserve">Assumed tariff (Rs./kWh)</t>
  </si>
  <si>
    <t xml:space="preserve">Estimated monthly consumption (kWh)</t>
  </si>
  <si>
    <t xml:space="preserve">Estimated annual consumption (kWh)</t>
  </si>
  <si>
    <t xml:space="preserve">Step 2: Size the system to target ~80-90% of annual consumption offset</t>
  </si>
  <si>
    <t xml:space="preserve">Target offset of annual consumption</t>
  </si>
  <si>
    <t xml:space="preserve">Full 100% offset would oversize the system versus roof area and budget constraints; 85% is a common practical target</t>
  </si>
  <si>
    <t xml:space="preserve">Target annual generation (kWh)</t>
  </si>
  <si>
    <t xml:space="preserve">Peak sun hours (from Assumptions)</t>
  </si>
  <si>
    <t xml:space="preserve">Performance ratio (from Assumptions)</t>
  </si>
  <si>
    <t xml:space="preserve">Indicative required capacity (kWp)</t>
  </si>
  <si>
    <t xml:space="preserve">Target annual generation / (PSH x 365 x PR)</t>
  </si>
  <si>
    <t xml:space="preserve">Step 3: Fit to available module count and roof area</t>
  </si>
  <si>
    <t xml:space="preserve">Selected module rating (Wp)</t>
  </si>
  <si>
    <t xml:space="preserve">Number of modules selected</t>
  </si>
  <si>
    <t xml:space="preserve">Rounds the indicative requirement to a whole number of modules that also fits the assumed roof area</t>
  </si>
  <si>
    <t xml:space="preserve">Resulting DC system size (kWp)</t>
  </si>
  <si>
    <t xml:space="preserve">Check vs. indicative requirement</t>
  </si>
  <si>
    <t xml:space="preserve">Why 5.175 kWp: the customer's bill (Rs.5,500/month at Rs.8/kWh) implies roughly 688 kWh/month, ~8,250 kWh/year of consumption. Targeting 85% offset needs roughly 4.9-5.0 kWp under Delhi-NCR irradiation (4.5 PSH, 80% PR). Nine 575 Wp modules give 5.175 kWp DC - the closest whole-module fit that also comfortably suits the assumed 550-600 sq ft roof area (9 modules at ~18 sq ft each with spacing = ~500-550 sq ft).</t>
  </si>
  <si>
    <t xml:space="preserve">Component Selection</t>
  </si>
  <si>
    <t xml:space="preserve">Module: Waaree BIN-08-575 (575 Wp, N-Type TOPCon, Bifacial, Dual-Glass)</t>
  </si>
  <si>
    <t xml:space="preserve">Rated power</t>
  </si>
  <si>
    <t xml:space="preserve">575 Wp</t>
  </si>
  <si>
    <t xml:space="preserve">Technology</t>
  </si>
  <si>
    <t xml:space="preserve">N-Type TOPCon, bifacial, dual-glass, monocrystalline</t>
  </si>
  <si>
    <t xml:space="preserve">Cell count</t>
  </si>
  <si>
    <t xml:space="preserve">144</t>
  </si>
  <si>
    <t xml:space="preserve">Rated efficiency</t>
  </si>
  <si>
    <t xml:space="preserve">22.26%</t>
  </si>
  <si>
    <t xml:space="preserve">Voc (open-circuit voltage)</t>
  </si>
  <si>
    <t xml:space="preserve">52.3 V</t>
  </si>
  <si>
    <t xml:space="preserve">Used below for string voltage compatibility check</t>
  </si>
  <si>
    <t xml:space="preserve">Isc (short-circuit current)</t>
  </si>
  <si>
    <t xml:space="preserve">13.87 A</t>
  </si>
  <si>
    <t xml:space="preserve">Used below for inverter current compatibility check</t>
  </si>
  <si>
    <t xml:space="preserve">Dimensions</t>
  </si>
  <si>
    <t xml:space="preserve">~2278 x 1134 x 33 mm</t>
  </si>
  <si>
    <t xml:space="preserve">Warranty</t>
  </si>
  <si>
    <t xml:space="preserve">12-yr product / 30-yr linear power output (typical for this product class)</t>
  </si>
  <si>
    <t xml:space="preserve">Why this module</t>
  </si>
  <si>
    <t xml:space="preserve">Bifacial N-Type gives a modest generation uplift (typically 3-8%) from rear-side reflected light where the mounting allows some ground/roof reflectance and rear ventilation; the case study conservatively does NOT add a bifacial gain to the 6,800 kWh/year generation figure, since a flush/close-mounted residential roof install captures little rear-side gain in practice.</t>
  </si>
  <si>
    <t xml:space="preserve">Inverter Selection &amp; Sizing Rationale</t>
  </si>
  <si>
    <t xml:space="preserve">This 5.175 kWp array is paired with a Loom Solar Fusion 63 (6 kW, three-phase) inverter. A smaller, single-phase inverter (~4 kW class) was also considered, since it would give a DC/AC ratio closer to the typical 1.1-1.25 EPC target. The 6 kW three-phase unit was selected instead under the assumption that the customer has (or will arrange) a three-phase connection, and to keep headroom against a Voc-derating margin. This is a sizing trade-off, not a technical error - both configurations are electrically valid for this array; the choice depends on the customer's actual electrical connection, which should be confirmed on-site before finalizing a real quotation.</t>
  </si>
  <si>
    <t xml:space="preserve">Alternative considered</t>
  </si>
  <si>
    <t xml:space="preserve">Single-phase ~4 kW-class inverter (e.g. Loom Solar Fusion 41)</t>
  </si>
  <si>
    <t xml:space="preserve">Would give a DC/AC ratio closer to ~1.15-1.29 depending on exact model, but max PV input power on this class (~4.5 kW) is close to or below the 5.175 kWp array - would need either a slight array de-rate or confirming the specific model's headroom before use.</t>
  </si>
  <si>
    <t xml:space="preserve">Selected inverter</t>
  </si>
  <si>
    <t xml:space="preserve">Loom Solar Fusion 63 (6 kW, three-phase)</t>
  </si>
  <si>
    <t xml:space="preserve">Spec used in this model: max PV input power 7.8 kW, max input voltage 1000 V, 2 MPPT trackers, max input current 40 A, 98.5% max efficiency</t>
  </si>
  <si>
    <t xml:space="preserve">Assumption this relies on</t>
  </si>
  <si>
    <t xml:space="preserve">Customer has, or will arrange, a three-phase electrical connection</t>
  </si>
  <si>
    <t xml:space="preserve">Reasonable for a higher-consumption home (the customer profile already assumed), and stated explicitly here as a design input rather than left implicit</t>
  </si>
  <si>
    <t xml:space="preserve">String voltage &amp; current compatibility check (with selected inverter)</t>
  </si>
  <si>
    <t xml:space="preserve">String Voc (9 modules in series)</t>
  </si>
  <si>
    <t xml:space="preserve">9 x 52.3 V = 470.7 V</t>
  </si>
  <si>
    <t xml:space="preserve">Well within Fusion 63's 1000 V max input - safe even with cold-weather Voc increase (~10-15%)</t>
  </si>
  <si>
    <t xml:space="preserve">String Isc</t>
  </si>
  <si>
    <t xml:space="preserve">Comfortably within Fusion 63's 40 A max input current</t>
  </si>
  <si>
    <t xml:space="preserve">DC/AC ratio</t>
  </si>
  <si>
    <t xml:space="preserve">5.175 kWp / 6 kW = 0.86</t>
  </si>
  <si>
    <t xml:space="preserve">Below the typical 1.1-1.25 target range for optimal inverter utilization. This reflects the three-phase/headroom design choice above rather than a sizing error - the array will never be clipped, but the inverter runs below its full rated capacity. Worth flagging as a trade-off if asked about cost-optimization.</t>
  </si>
  <si>
    <t xml:space="preserve">Inverter specs used (Loom Solar Fusion 63)</t>
  </si>
  <si>
    <t xml:space="preserve">Rated output power</t>
  </si>
  <si>
    <t xml:space="preserve">6 kW</t>
  </si>
  <si>
    <t xml:space="preserve">Phase</t>
  </si>
  <si>
    <t xml:space="preserve">Three-phase, 400 V output</t>
  </si>
  <si>
    <t xml:space="preserve">Max PV input power</t>
  </si>
  <si>
    <t xml:space="preserve">7.8 kW</t>
  </si>
  <si>
    <t xml:space="preserve">Max PV input voltage</t>
  </si>
  <si>
    <t xml:space="preserve">1000 V</t>
  </si>
  <si>
    <t xml:space="preserve">MPPT trackers</t>
  </si>
  <si>
    <t xml:space="preserve">2</t>
  </si>
  <si>
    <t xml:space="preserve">Max efficiency</t>
  </si>
  <si>
    <t xml:space="preserve">98.5%</t>
  </si>
  <si>
    <t xml:space="preserve">Communication</t>
  </si>
  <si>
    <t xml:space="preserve">WiFi, GPRS, RS-485, RS-232</t>
  </si>
  <si>
    <t xml:space="preserve">Enables remote generation monitoring - relevant to customer after-sales value prop</t>
  </si>
  <si>
    <t xml:space="preserve">Protection</t>
  </si>
  <si>
    <t xml:space="preserve">Anti-islanding, over-voltage/current/temp, DC reverse polarity, Type II SPD</t>
  </si>
  <si>
    <t xml:space="preserve">Bill of Materials &amp; Project Costing</t>
  </si>
  <si>
    <t xml:space="preserve">Item</t>
  </si>
  <si>
    <t xml:space="preserve">Qty</t>
  </si>
  <si>
    <t xml:space="preserve">Unit</t>
  </si>
  <si>
    <t xml:space="preserve">Unit Cost (Rs.)</t>
  </si>
  <si>
    <t xml:space="preserve">Total Cost (Rs.)</t>
  </si>
  <si>
    <t xml:space="preserve">Basis</t>
  </si>
  <si>
    <t xml:space="preserve">Major Equipment</t>
  </si>
  <si>
    <t xml:space="preserve">Waaree 575 Wp N-Type bifacial module</t>
  </si>
  <si>
    <t xml:space="preserve">nos</t>
  </si>
  <si>
    <t xml:space="preserve">Public manufacturer/retail reference price</t>
  </si>
  <si>
    <t xml:space="preserve">Loom Solar Fusion 63 (6 kW, 3-phase inverter)</t>
  </si>
  <si>
    <t xml:space="preserve">Estimated from typical Rs./kW string-inverter market pricing (~Rs.7,000/kW); exact retail price for this SKU not independently confirmed</t>
  </si>
  <si>
    <t xml:space="preserve">Balance of System</t>
  </si>
  <si>
    <t xml:space="preserve">Aluminium/GI mounting structure</t>
  </si>
  <si>
    <t xml:space="preserve">lot</t>
  </si>
  <si>
    <t xml:space="preserve">Estimate; roof-type dependent</t>
  </si>
  <si>
    <t xml:space="preserve">4 sq.mm DC solar cable</t>
  </si>
  <si>
    <t xml:space="preserve">Estimate anchored to current cable market listings</t>
  </si>
  <si>
    <t xml:space="preserve">AC cable + accessories</t>
  </si>
  <si>
    <t xml:space="preserve">Estimate</t>
  </si>
  <si>
    <t xml:space="preserve">MC4 connectors + DC isolator</t>
  </si>
  <si>
    <t xml:space="preserve">ACDB/DCDB + AC &amp; DC SPD (Type II)</t>
  </si>
  <si>
    <t xml:space="preserve">MCB/MCCB protection (AC &amp; DC side)</t>
  </si>
  <si>
    <t xml:space="preserve">Earthing (module + LA earthing, 2 pits)</t>
  </si>
  <si>
    <t xml:space="preserve">Estimate; standard 2-pit earthing for residential rooftop</t>
  </si>
  <si>
    <t xml:space="preserve">Lightning protection</t>
  </si>
  <si>
    <t xml:space="preserve">External display/monitoring accessory</t>
  </si>
  <si>
    <t xml:space="preserve">Fusion 63 has built-in WiFi monitoring; this covers optional add-on display</t>
  </si>
  <si>
    <t xml:space="preserve">Installation &amp; Engineering</t>
  </si>
  <si>
    <t xml:space="preserve">Installation &amp; commissioning labour</t>
  </si>
  <si>
    <t xml:space="preserve">Estimate; typical for a 5 kW-class rooftop crew job</t>
  </si>
  <si>
    <t xml:space="preserve">Transportation</t>
  </si>
  <si>
    <t xml:space="preserve">Engineering/design + net-metering application support</t>
  </si>
  <si>
    <t xml:space="preserve">Estimate; covers DISCOM liaison and net-metering paperwork</t>
  </si>
  <si>
    <t xml:space="preserve">Testing &amp; commissioning documentation</t>
  </si>
  <si>
    <t xml:space="preserve">Subtotal (materials + BOS + installation)</t>
  </si>
  <si>
    <t xml:space="preserve">Contingency</t>
  </si>
  <si>
    <t xml:space="preserve">Covers minor scope changes/price fluctuation</t>
  </si>
  <si>
    <t xml:space="preserve">TOTAL DIRECT PROJECT COST</t>
  </si>
  <si>
    <t xml:space="preserve">Commercial Pricing (EPC margin -&gt; customer quotation)</t>
  </si>
  <si>
    <t xml:space="preserve">EPC overhead &amp; commercial margin</t>
  </si>
  <si>
    <t xml:space="preserve">Typical margin range for residential EPC solar quotes in India is 10-15% over direct cost</t>
  </si>
  <si>
    <t xml:space="preserve">GROSS PROJECT PRICE (before subsidy)</t>
  </si>
  <si>
    <t xml:space="preserve">PM Surya Ghar Subsidy Application</t>
  </si>
  <si>
    <t xml:space="preserve">System size (kWp)</t>
  </si>
  <si>
    <t xml:space="preserve">Applicable CFA (residential, &gt;=3kW system =&gt; flat cap)</t>
  </si>
  <si>
    <t xml:space="preserve">System is 5.175 kWp (&gt;3kW) so the flat Rs.78,000 cap applies, not the per-kW slab calculation</t>
  </si>
  <si>
    <t xml:space="preserve">NET CUSTOMER INVESTMENT (after subsidy)</t>
  </si>
  <si>
    <t xml:space="preserve">Annual Energy Generation, Savings &amp; Financial Analysis</t>
  </si>
  <si>
    <t xml:space="preserve">Annual Generation (derived, reconciled against the 6,800 kWh/year target)</t>
  </si>
  <si>
    <t xml:space="preserve">Peak sun hours</t>
  </si>
  <si>
    <t xml:space="preserve">Performance ratio</t>
  </si>
  <si>
    <t xml:space="preserve">kWp x PSH x 365 x PR. This reconciles to ~6,800 kWh/year (matches the confirmed project baseline, superseding an earlier draft figure of 6,570 kWh which had used 5 kWp nominal instead of the actual 5.175 kWp DC size).</t>
  </si>
  <si>
    <t xml:space="preserve">Sanity check: generation yield (kWh/kWp/year)</t>
  </si>
  <si>
    <t xml:space="preserve">Typical Delhi-NCR rooftop yield range is ~1,300-1,600 kWh/kWp/year; this model's ~1,314 sits at the conservative end, appropriate for a real (non-ideal tilt/orientation, some soiling) residential install rather than a lab-perfect estimate.</t>
  </si>
  <si>
    <t xml:space="preserve">Bill Savings (not 1:1 with generation - self-consumption vs. export matters)</t>
  </si>
  <si>
    <t xml:space="preserve">Self-consumption share</t>
  </si>
  <si>
    <t xml:space="preserve">Self-consumed units (kWh/yr)</t>
  </si>
  <si>
    <t xml:space="preserve">Exported units (kWh/yr)</t>
  </si>
  <si>
    <t xml:space="preserve">Retail tariff (Rs./kWh)</t>
  </si>
  <si>
    <t xml:space="preserve">Net-metering export credit rate (Rs./kWh)</t>
  </si>
  <si>
    <t xml:space="preserve">Savings from self-consumption (Rs./yr)</t>
  </si>
  <si>
    <t xml:space="preserve">Credit from grid export (Rs./yr)</t>
  </si>
  <si>
    <t xml:space="preserve">O&amp;M cost (Rs./yr)</t>
  </si>
  <si>
    <t xml:space="preserve">NET ANNUAL SAVINGS, Year 1 (Rs.)</t>
  </si>
  <si>
    <t xml:space="preserve">Payback &amp; ROI</t>
  </si>
  <si>
    <t xml:space="preserve">Net customer investment (Rs., after subsidy)</t>
  </si>
  <si>
    <t xml:space="preserve">SIMPLE PAYBACK (years)</t>
  </si>
  <si>
    <t xml:space="preserve">Net investment / Year-1 net annual savings. Ignores degradation and tariff escalation - a conservative (slightly pessimistic) simple-payback view.</t>
  </si>
  <si>
    <t xml:space="preserve">25-Year Perspective (accounts for degradation; O&amp;M and one inverter replacement)</t>
  </si>
  <si>
    <t xml:space="preserve">Annual module degradation</t>
  </si>
  <si>
    <t xml:space="preserve">Inverter replacement cost (Year 12, one-time)</t>
  </si>
  <si>
    <t xml:space="preserve">Assumed same as original inverter unit cost</t>
  </si>
  <si>
    <t xml:space="preserve">Approx. cumulative net savings over 25 years</t>
  </si>
  <si>
    <t xml:space="preserve">Simplified: Year-1 net savings x 25 years x an average degradation haircut (~12 years' worth of decline, roughly approximating the declining-output curve) minus one inverter replacement. A simplification, not a full year-by-year DCF - flagged as such deliberately (see Financial Analysis note in the report).</t>
  </si>
  <si>
    <t xml:space="preserve">Approx. 25-year ROI (on net investment)</t>
  </si>
  <si>
    <t xml:space="preserve">Simple payback vs. DCF: this model deliberately uses SIMPLE payback (investment / year-1 savings) as the headline number, since it's the metric a residential customer actually asks about and is easy to defend. A discounted cash-flow (DCF) view - discounting future savings to present value - would be more rigorous for a large commercial project, but is unnecessary complexity for a small residential case; the 25-year cumulative view above is a lightweight substitute that still credits degradation and one replacement cost, without a full year-by-year model.</t>
  </si>
  <si>
    <t xml:space="preserve">Sensitivity Analysis</t>
  </si>
  <si>
    <t xml:space="preserve">Base case net investment (Rs.)</t>
  </si>
  <si>
    <t xml:space="preserve">Base case tariff (Rs./kWh)</t>
  </si>
  <si>
    <t xml:space="preserve">Base case generation (kWh/yr)</t>
  </si>
  <si>
    <t xml:space="preserve">Export credit rate (Rs./kWh)</t>
  </si>
  <si>
    <t xml:space="preserve">O&amp;M (Rs./yr)</t>
  </si>
  <si>
    <t xml:space="preserve">1. Tariff sensitivity (Low / Base / High) - payback in years</t>
  </si>
  <si>
    <t xml:space="preserve">Tariff scenario</t>
  </si>
  <si>
    <t xml:space="preserve">Low (Rs.6.5)</t>
  </si>
  <si>
    <t xml:space="preserve">Base (Rs.8)</t>
  </si>
  <si>
    <t xml:space="preserve">High (Rs.9.5)</t>
  </si>
  <si>
    <t xml:space="preserve">Payback (years)</t>
  </si>
  <si>
    <t xml:space="preserve">2. Generation sensitivity (Lower / Base / Higher, e.g. shading/soiling/orientation variance) - payback in years</t>
  </si>
  <si>
    <t xml:space="preserve">Generation scenario</t>
  </si>
  <si>
    <t xml:space="preserve">Lower (-10%)</t>
  </si>
  <si>
    <t xml:space="preserve">Base</t>
  </si>
  <si>
    <t xml:space="preserve">Higher (+10%)</t>
  </si>
  <si>
    <t xml:space="preserve">3. Project cost sensitivity (Lower / Base / Higher, e.g. component price swing) - payback in years</t>
  </si>
  <si>
    <t xml:space="preserve">Cost scenario</t>
  </si>
  <si>
    <t xml:space="preserve">Reading this: payback ranges roughly 3.8 to 4.8 years across realistic tariff/generation/cost variation - the base case (~4.2 years) is not fragile to any single assumption moving by ~10%. This kind of range, not a single point estimate, is what a customer or reviewing manager actually wants to see.</t>
  </si>
  <si>
    <t xml:space="preserve">Alternative Configurations Considered</t>
  </si>
  <si>
    <t xml:space="preserve">Criterion</t>
  </si>
  <si>
    <t xml:space="preserve">Selected: Waaree Bifacial + Fusion 63</t>
  </si>
  <si>
    <t xml:space="preserve">Alt. 1: Standard Mono-PERC + smaller inverter</t>
  </si>
  <si>
    <t xml:space="preserve">Alt. 2: Premium Tier-1 module (e.g. Adani/Premier)</t>
  </si>
  <si>
    <t xml:space="preserve">Module efficiency</t>
  </si>
  <si>
    <t xml:space="preserve">22.26% (N-Type TOPCon, bifacial)</t>
  </si>
  <si>
    <t xml:space="preserve">~19-20% (standard Mono-PERC)</t>
  </si>
  <si>
    <t xml:space="preserve">~22-23% (similar tier, premium brand)</t>
  </si>
  <si>
    <t xml:space="preserve">Approx. module cost</t>
  </si>
  <si>
    <t xml:space="preserve">Rs.11,299 (9 units)</t>
  </si>
  <si>
    <t xml:space="preserve">~15-20% cheaper per Wp</t>
  </si>
  <si>
    <t xml:space="preserve">~10-15% pricier per Wp</t>
  </si>
  <si>
    <t xml:space="preserve">Bifacial gain</t>
  </si>
  <si>
    <t xml:space="preserve">Present but not counted in this model's generation figure (conservative)</t>
  </si>
  <si>
    <t xml:space="preserve">Not applicable</t>
  </si>
  <si>
    <t xml:space="preserve">Depends on specific model</t>
  </si>
  <si>
    <t xml:space="preserve">12-yr product / 30-yr linear output</t>
  </si>
  <si>
    <t xml:space="preserve">Typically 10-12 yr product / 25-yr output</t>
  </si>
  <si>
    <t xml:space="preserve">Similar to selected, brand-dependent</t>
  </si>
  <si>
    <t xml:space="preserve">Availability (India)</t>
  </si>
  <si>
    <t xml:space="preserve">Good - Waaree is a major domestic manufacturer, PM Surya Ghar-eligible</t>
  </si>
  <si>
    <t xml:space="preserve">Good, widely available</t>
  </si>
  <si>
    <t xml:space="preserve">Good, but marginally higher lead time for premium SKUs</t>
  </si>
  <si>
    <t xml:space="preserve">Recommendation</t>
  </si>
  <si>
    <t xml:space="preserve">SELECTED - best balance of technical headroom (bifacial, high efficiency) and cost for this customer's budget-conscious priority</t>
  </si>
  <si>
    <t xml:space="preserve">Lower upfront cost, but shorter warranty and lower efficiency reduces long-term value</t>
  </si>
  <si>
    <t xml:space="preserve">Marginal efficiency gain doesn't justify the premium for a budget-conscious residential customer</t>
  </si>
  <si>
    <t xml:space="preserve">The point of this comparison is not to declare one product universally 'best' - it's to show the trade-off reasoning: the selected configuration wins on this specific customer's stated priority (moderate upfront cost, but wants a durable, bankable brand), not on any single spec in isolation.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</si>
</sst>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&quot;Rs. &quot;#,##0;&quot;(Rs. &quot;#,##0\)"/>
    <numFmt numFmtId="168" formatCode="0.0"/>
    <numFmt numFmtId="169" formatCode="0.0%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0</v>
      </c>
      <c r="B1" s="2"/>
      <c r="C1" s="2"/>
    </row>
    <row r="3" customFormat="false" ht="26.25" hidden="false" customHeight="true" outlineLevel="0" collapsed="false">
      <c r="A3" s="3" t="s">
        <v>1</v>
      </c>
      <c r="B3" s="4" t="s">
        <v>2</v>
      </c>
      <c r="C3" s="5" t="s">
        <v>3</v>
      </c>
    </row>
    <row r="4" customFormat="false" ht="15" hidden="false" customHeight="true" outlineLevel="0" collapsed="false">
      <c r="A4" s="6" t="s">
        <v>4</v>
      </c>
      <c r="B4" s="6"/>
      <c r="C4" s="6"/>
    </row>
    <row r="5" customFormat="false" ht="51.75" hidden="false" customHeight="true" outlineLevel="0" collapsed="false">
      <c r="A5" s="4" t="s">
        <v>5</v>
      </c>
      <c r="B5" s="4" t="str">
        <f aca="false">'Load &amp; Sizing'!B18&amp;" x 575 Wp Waaree bifacial modules + Loom Solar Fusion 63 (6kW, 3-phase)"</f>
        <v>9 x 575 Wp Waaree bifacial modules + Loom Solar Fusion 63 (6kW, 3-phase)</v>
      </c>
      <c r="C5" s="7"/>
    </row>
    <row r="6" customFormat="false" ht="15" hidden="false" customHeight="true" outlineLevel="0" collapsed="false">
      <c r="A6" s="4" t="s">
        <v>6</v>
      </c>
      <c r="B6" s="8" t="n">
        <f aca="false">'Load &amp; Sizing'!B19</f>
        <v>5.175</v>
      </c>
      <c r="C6" s="7"/>
    </row>
    <row r="7" customFormat="false" ht="26.25" hidden="false" customHeight="true" outlineLevel="0" collapsed="false">
      <c r="A7" s="4" t="s">
        <v>7</v>
      </c>
      <c r="B7" s="9" t="n">
        <f aca="false">'Savings &amp; Financial'!B7</f>
        <v>6799.95</v>
      </c>
      <c r="C7" s="7"/>
    </row>
    <row r="8" customFormat="false" ht="15" hidden="false" customHeight="true" outlineLevel="0" collapsed="false">
      <c r="A8" s="4" t="s">
        <v>8</v>
      </c>
      <c r="B8" s="9" t="n">
        <f aca="false">'Savings &amp; Financial'!B7/'Load &amp; Sizing'!B19</f>
        <v>1314</v>
      </c>
      <c r="C8" s="7"/>
    </row>
    <row r="10" customFormat="false" ht="15" hidden="false" customHeight="true" outlineLevel="0" collapsed="false">
      <c r="A10" s="6" t="s">
        <v>9</v>
      </c>
      <c r="B10" s="6"/>
      <c r="C10" s="6"/>
    </row>
    <row r="11" customFormat="false" ht="15" hidden="false" customHeight="true" outlineLevel="0" collapsed="false">
      <c r="A11" s="4" t="s">
        <v>10</v>
      </c>
      <c r="B11" s="10" t="n">
        <f aca="false">'BOM &amp; Costing'!E26</f>
        <v>248525.55</v>
      </c>
      <c r="C11" s="7"/>
    </row>
    <row r="12" customFormat="false" ht="15" hidden="false" customHeight="true" outlineLevel="0" collapsed="false">
      <c r="A12" s="4" t="s">
        <v>11</v>
      </c>
      <c r="B12" s="10" t="n">
        <f aca="false">'BOM &amp; Costing'!E30</f>
        <v>278348.616</v>
      </c>
      <c r="C12" s="7"/>
    </row>
    <row r="13" customFormat="false" ht="15" hidden="false" customHeight="true" outlineLevel="0" collapsed="false">
      <c r="A13" s="4" t="s">
        <v>12</v>
      </c>
      <c r="B13" s="10" t="n">
        <f aca="false">'BOM &amp; Costing'!E34</f>
        <v>78000</v>
      </c>
      <c r="C13" s="7"/>
    </row>
    <row r="14" customFormat="false" ht="26.25" hidden="false" customHeight="true" outlineLevel="0" collapsed="false">
      <c r="A14" s="4" t="s">
        <v>13</v>
      </c>
      <c r="B14" s="10" t="n">
        <f aca="false">'BOM &amp; Costing'!E36</f>
        <v>200348.616</v>
      </c>
      <c r="C14" s="7"/>
    </row>
    <row r="16" customFormat="false" ht="15" hidden="false" customHeight="true" outlineLevel="0" collapsed="false">
      <c r="A16" s="6" t="s">
        <v>14</v>
      </c>
      <c r="B16" s="6"/>
      <c r="C16" s="6"/>
    </row>
    <row r="17" customFormat="false" ht="15" hidden="false" customHeight="true" outlineLevel="0" collapsed="false">
      <c r="A17" s="11" t="s">
        <v>15</v>
      </c>
      <c r="B17" s="12" t="n">
        <f aca="false">'Savings &amp; Financial'!B19</f>
        <v>47309.63375</v>
      </c>
      <c r="C17" s="13"/>
    </row>
    <row r="18" customFormat="false" ht="15" hidden="false" customHeight="true" outlineLevel="0" collapsed="false">
      <c r="A18" s="11" t="s">
        <v>16</v>
      </c>
      <c r="B18" s="14" t="n">
        <f aca="false">'Savings &amp; Financial'!B23</f>
        <v>4.23483760323974</v>
      </c>
      <c r="C18" s="13"/>
    </row>
    <row r="19" customFormat="false" ht="15" hidden="false" customHeight="true" outlineLevel="0" collapsed="false">
      <c r="A19" s="11" t="s">
        <v>17</v>
      </c>
      <c r="B19" s="15" t="n">
        <f aca="false">'Savings &amp; Financial'!B29</f>
        <v>5.3041541752527</v>
      </c>
      <c r="C19" s="13"/>
    </row>
    <row r="21" customFormat="false" ht="15" hidden="false" customHeight="true" outlineLevel="0" collapsed="false">
      <c r="A21" s="6" t="s">
        <v>18</v>
      </c>
      <c r="B21" s="6"/>
      <c r="C21" s="6"/>
    </row>
    <row r="22" customFormat="false" ht="54.75" hidden="false" customHeight="true" outlineLevel="0" collapsed="false">
      <c r="A22" s="5" t="s">
        <v>19</v>
      </c>
      <c r="B22" s="5"/>
      <c r="C22" s="5"/>
    </row>
  </sheetData>
  <mergeCells count="6">
    <mergeCell ref="A1:C1"/>
    <mergeCell ref="A4:C4"/>
    <mergeCell ref="A10:C10"/>
    <mergeCell ref="A16:C16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25" hidden="false" customHeight="true" outlineLevel="0" collapsed="false">
      <c r="A1" s="16" t="s">
        <v>20</v>
      </c>
    </row>
    <row r="3" customFormat="false" ht="15" hidden="false" customHeight="true" outlineLevel="0" collapsed="false">
      <c r="A3" s="17" t="s">
        <v>1</v>
      </c>
    </row>
    <row r="4" customFormat="false" ht="30" hidden="false" customHeight="true" outlineLevel="0" collapsed="false">
      <c r="A4" s="18" t="s">
        <v>21</v>
      </c>
    </row>
    <row r="5" customFormat="false" ht="15" hidden="false" customHeight="true" outlineLevel="0" collapsed="false">
      <c r="A5" s="18"/>
    </row>
    <row r="6" customFormat="false" ht="15" hidden="false" customHeight="true" outlineLevel="0" collapsed="false">
      <c r="A6" s="17" t="s">
        <v>22</v>
      </c>
    </row>
    <row r="7" customFormat="false" ht="15" hidden="false" customHeight="true" outlineLevel="0" collapsed="false">
      <c r="A7" s="18" t="s">
        <v>23</v>
      </c>
    </row>
    <row r="8" customFormat="false" ht="15" hidden="false" customHeight="true" outlineLevel="0" collapsed="false">
      <c r="A8" s="18" t="s">
        <v>24</v>
      </c>
    </row>
    <row r="9" customFormat="false" ht="30" hidden="false" customHeight="true" outlineLevel="0" collapsed="false">
      <c r="A9" s="18" t="s">
        <v>25</v>
      </c>
    </row>
    <row r="10" customFormat="false" ht="30" hidden="false" customHeight="true" outlineLevel="0" collapsed="false">
      <c r="A10" s="18" t="s">
        <v>26</v>
      </c>
    </row>
    <row r="11" customFormat="false" ht="15" hidden="false" customHeight="true" outlineLevel="0" collapsed="false">
      <c r="A11" s="18" t="s">
        <v>27</v>
      </c>
    </row>
    <row r="12" customFormat="false" ht="15" hidden="false" customHeight="true" outlineLevel="0" collapsed="false">
      <c r="A12" s="18" t="s">
        <v>28</v>
      </c>
    </row>
    <row r="13" customFormat="false" ht="15" hidden="false" customHeight="true" outlineLevel="0" collapsed="false">
      <c r="A13" s="18" t="s">
        <v>29</v>
      </c>
    </row>
    <row r="14" customFormat="false" ht="30" hidden="false" customHeight="true" outlineLevel="0" collapsed="false">
      <c r="A14" s="18" t="s">
        <v>30</v>
      </c>
    </row>
    <row r="15" customFormat="false" ht="15" hidden="false" customHeight="true" outlineLevel="0" collapsed="false">
      <c r="A15" s="18"/>
    </row>
    <row r="16" customFormat="false" ht="15" hidden="false" customHeight="true" outlineLevel="0" collapsed="false">
      <c r="A16" s="17" t="s">
        <v>31</v>
      </c>
    </row>
    <row r="17" customFormat="false" ht="30" hidden="false" customHeight="true" outlineLevel="0" collapsed="false">
      <c r="A17" s="18" t="s">
        <v>32</v>
      </c>
    </row>
    <row r="18" customFormat="false" ht="15" hidden="false" customHeight="true" outlineLevel="0" collapsed="false">
      <c r="A18" s="18"/>
    </row>
    <row r="19" customFormat="false" ht="15" hidden="false" customHeight="true" outlineLevel="0" collapsed="false">
      <c r="A19" s="17" t="s">
        <v>33</v>
      </c>
    </row>
    <row r="20" customFormat="false" ht="30" hidden="false" customHeight="true" outlineLevel="0" collapsed="false">
      <c r="A20" s="18" t="s">
        <v>34</v>
      </c>
    </row>
    <row r="21" customFormat="false" ht="54.75" hidden="false" customHeight="true" outlineLevel="0" collapsed="false">
      <c r="A21" s="18" t="s">
        <v>35</v>
      </c>
    </row>
    <row r="22" customFormat="false" ht="30" hidden="false" customHeight="true" outlineLevel="0" collapsed="false">
      <c r="A22" s="18" t="s">
        <v>36</v>
      </c>
    </row>
    <row r="23" customFormat="false" ht="30" hidden="false" customHeight="true" outlineLevel="0" collapsed="false">
      <c r="A23" s="18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0"/>
  </cols>
  <sheetData>
    <row r="1" customFormat="false" ht="15" hidden="false" customHeight="true" outlineLevel="0" collapsed="false">
      <c r="A1" s="2" t="s">
        <v>38</v>
      </c>
      <c r="B1" s="2"/>
      <c r="C1" s="2"/>
      <c r="D1" s="2"/>
    </row>
    <row r="3" customFormat="false" ht="15" hidden="false" customHeight="true" outlineLevel="0" collapsed="false">
      <c r="A3" s="6" t="s">
        <v>39</v>
      </c>
      <c r="B3" s="6"/>
      <c r="C3" s="6"/>
      <c r="D3" s="6"/>
    </row>
    <row r="4" customFormat="false" ht="26.25" hidden="false" customHeight="true" outlineLevel="0" collapsed="false">
      <c r="A4" s="4" t="s">
        <v>40</v>
      </c>
      <c r="B4" s="19" t="s">
        <v>41</v>
      </c>
      <c r="C4" s="5" t="s">
        <v>42</v>
      </c>
      <c r="D4" s="5" t="s">
        <v>43</v>
      </c>
    </row>
    <row r="5" customFormat="false" ht="26.25" hidden="false" customHeight="true" outlineLevel="0" collapsed="false">
      <c r="A5" s="4" t="s">
        <v>44</v>
      </c>
      <c r="B5" s="19" t="s">
        <v>45</v>
      </c>
      <c r="C5" s="5" t="s">
        <v>46</v>
      </c>
      <c r="D5" s="5" t="s">
        <v>43</v>
      </c>
    </row>
    <row r="6" customFormat="false" ht="21.75" hidden="false" customHeight="true" outlineLevel="0" collapsed="false">
      <c r="A6" s="4" t="s">
        <v>47</v>
      </c>
      <c r="B6" s="20" t="n">
        <v>5500</v>
      </c>
      <c r="C6" s="5" t="s">
        <v>48</v>
      </c>
      <c r="D6" s="5" t="s">
        <v>43</v>
      </c>
    </row>
    <row r="7" customFormat="false" ht="21.75" hidden="false" customHeight="true" outlineLevel="0" collapsed="false">
      <c r="A7" s="4" t="s">
        <v>49</v>
      </c>
      <c r="B7" s="21" t="n">
        <v>8</v>
      </c>
      <c r="C7" s="5" t="s">
        <v>50</v>
      </c>
      <c r="D7" s="5" t="s">
        <v>43</v>
      </c>
    </row>
    <row r="8" customFormat="false" ht="15" hidden="false" customHeight="true" outlineLevel="0" collapsed="false">
      <c r="A8" s="4" t="s">
        <v>51</v>
      </c>
      <c r="B8" s="9" t="n">
        <f aca="false">B6/B7</f>
        <v>687.5</v>
      </c>
      <c r="C8" s="5" t="s">
        <v>52</v>
      </c>
      <c r="D8" s="5" t="s">
        <v>53</v>
      </c>
    </row>
    <row r="9" customFormat="false" ht="21.75" hidden="false" customHeight="true" outlineLevel="0" collapsed="false">
      <c r="A9" s="4" t="s">
        <v>54</v>
      </c>
      <c r="B9" s="19" t="s">
        <v>55</v>
      </c>
      <c r="C9" s="5" t="s">
        <v>56</v>
      </c>
      <c r="D9" s="5" t="s">
        <v>43</v>
      </c>
    </row>
    <row r="10" customFormat="false" ht="77.25" hidden="false" customHeight="true" outlineLevel="0" collapsed="false">
      <c r="A10" s="4" t="s">
        <v>57</v>
      </c>
      <c r="B10" s="19" t="s">
        <v>58</v>
      </c>
      <c r="C10" s="5" t="s">
        <v>59</v>
      </c>
      <c r="D10" s="5" t="s">
        <v>43</v>
      </c>
    </row>
    <row r="11" customFormat="false" ht="39" hidden="false" customHeight="true" outlineLevel="0" collapsed="false">
      <c r="A11" s="22" t="s">
        <v>60</v>
      </c>
      <c r="B11" s="23" t="s">
        <v>61</v>
      </c>
      <c r="C11" s="24" t="s">
        <v>62</v>
      </c>
      <c r="D11" s="24" t="s">
        <v>63</v>
      </c>
    </row>
    <row r="13" customFormat="false" ht="15" hidden="false" customHeight="true" outlineLevel="0" collapsed="false">
      <c r="A13" s="6" t="s">
        <v>64</v>
      </c>
      <c r="B13" s="6"/>
      <c r="C13" s="6"/>
      <c r="D13" s="6"/>
    </row>
    <row r="14" customFormat="false" ht="26.25" hidden="false" customHeight="true" outlineLevel="0" collapsed="false">
      <c r="A14" s="4" t="s">
        <v>65</v>
      </c>
      <c r="B14" s="25" t="n">
        <v>4.5</v>
      </c>
      <c r="C14" s="5" t="s">
        <v>66</v>
      </c>
      <c r="D14" s="5" t="s">
        <v>43</v>
      </c>
    </row>
    <row r="15" customFormat="false" ht="42.75" hidden="false" customHeight="true" outlineLevel="0" collapsed="false">
      <c r="A15" s="4" t="s">
        <v>67</v>
      </c>
      <c r="B15" s="26" t="n">
        <v>0.8</v>
      </c>
      <c r="C15" s="5" t="s">
        <v>68</v>
      </c>
      <c r="D15" s="5" t="s">
        <v>43</v>
      </c>
    </row>
    <row r="16" customFormat="false" ht="26.25" hidden="false" customHeight="true" outlineLevel="0" collapsed="false">
      <c r="A16" s="4" t="s">
        <v>69</v>
      </c>
      <c r="B16" s="26" t="n">
        <v>0.0055</v>
      </c>
      <c r="C16" s="5" t="s">
        <v>70</v>
      </c>
      <c r="D16" s="5" t="s">
        <v>43</v>
      </c>
    </row>
    <row r="17" customFormat="false" ht="21.75" hidden="false" customHeight="true" outlineLevel="0" collapsed="false">
      <c r="A17" s="4" t="s">
        <v>71</v>
      </c>
      <c r="B17" s="20" t="n">
        <v>2500</v>
      </c>
      <c r="C17" s="5" t="s">
        <v>72</v>
      </c>
      <c r="D17" s="5" t="s">
        <v>43</v>
      </c>
    </row>
    <row r="18" customFormat="false" ht="26.25" hidden="false" customHeight="true" outlineLevel="0" collapsed="false">
      <c r="A18" s="4" t="s">
        <v>73</v>
      </c>
      <c r="B18" s="19" t="s">
        <v>74</v>
      </c>
      <c r="C18" s="5" t="s">
        <v>75</v>
      </c>
      <c r="D18" s="5" t="s">
        <v>43</v>
      </c>
    </row>
    <row r="19" customFormat="false" ht="26.25" hidden="false" customHeight="true" outlineLevel="0" collapsed="false">
      <c r="A19" s="4" t="s">
        <v>76</v>
      </c>
      <c r="B19" s="26" t="n">
        <v>0.55</v>
      </c>
      <c r="C19" s="5" t="s">
        <v>77</v>
      </c>
      <c r="D19" s="5" t="s">
        <v>43</v>
      </c>
    </row>
    <row r="20" customFormat="false" ht="26.25" hidden="false" customHeight="true" outlineLevel="0" collapsed="false">
      <c r="A20" s="4" t="s">
        <v>78</v>
      </c>
      <c r="B20" s="25" t="n">
        <v>6.5</v>
      </c>
      <c r="C20" s="5" t="s">
        <v>79</v>
      </c>
      <c r="D20" s="5" t="s">
        <v>43</v>
      </c>
    </row>
    <row r="22" customFormat="false" ht="15" hidden="false" customHeight="true" outlineLevel="0" collapsed="false">
      <c r="A22" s="6" t="s">
        <v>80</v>
      </c>
      <c r="B22" s="6"/>
      <c r="C22" s="6"/>
      <c r="D22" s="6"/>
    </row>
    <row r="23" customFormat="false" ht="15" hidden="false" customHeight="true" outlineLevel="0" collapsed="false">
      <c r="A23" s="4" t="s">
        <v>81</v>
      </c>
      <c r="B23" s="27" t="n">
        <v>30000</v>
      </c>
      <c r="C23" s="5" t="s">
        <v>82</v>
      </c>
      <c r="D23" s="5" t="s">
        <v>83</v>
      </c>
    </row>
    <row r="24" customFormat="false" ht="15" hidden="false" customHeight="true" outlineLevel="0" collapsed="false">
      <c r="A24" s="4" t="s">
        <v>84</v>
      </c>
      <c r="B24" s="27" t="n">
        <v>30000</v>
      </c>
      <c r="C24" s="5" t="s">
        <v>82</v>
      </c>
      <c r="D24" s="5" t="s">
        <v>83</v>
      </c>
    </row>
    <row r="25" customFormat="false" ht="15" hidden="false" customHeight="true" outlineLevel="0" collapsed="false">
      <c r="A25" s="4" t="s">
        <v>85</v>
      </c>
      <c r="B25" s="27" t="n">
        <v>18000</v>
      </c>
      <c r="C25" s="5" t="s">
        <v>82</v>
      </c>
      <c r="D25" s="5" t="s">
        <v>83</v>
      </c>
    </row>
    <row r="26" customFormat="false" ht="26.25" hidden="false" customHeight="true" outlineLevel="0" collapsed="false">
      <c r="A26" s="4" t="s">
        <v>86</v>
      </c>
      <c r="B26" s="27" t="n">
        <v>78000</v>
      </c>
      <c r="C26" s="5" t="s">
        <v>87</v>
      </c>
      <c r="D26" s="5" t="s">
        <v>83</v>
      </c>
    </row>
    <row r="27" customFormat="false" ht="32.25" hidden="false" customHeight="true" outlineLevel="0" collapsed="false">
      <c r="A27" s="4" t="s">
        <v>88</v>
      </c>
      <c r="B27" s="3" t="s">
        <v>89</v>
      </c>
      <c r="C27" s="5" t="s">
        <v>90</v>
      </c>
      <c r="D27" s="5" t="s">
        <v>83</v>
      </c>
    </row>
  </sheetData>
  <mergeCells count="4">
    <mergeCell ref="A1:D1"/>
    <mergeCell ref="A3:D3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91</v>
      </c>
      <c r="B1" s="2"/>
      <c r="C1" s="2"/>
      <c r="D1" s="2"/>
    </row>
    <row r="3" customFormat="false" ht="15" hidden="false" customHeight="true" outlineLevel="0" collapsed="false">
      <c r="A3" s="6" t="s">
        <v>92</v>
      </c>
      <c r="B3" s="6"/>
      <c r="C3" s="6"/>
      <c r="D3" s="6"/>
    </row>
    <row r="4" customFormat="false" ht="15" hidden="false" customHeight="true" outlineLevel="0" collapsed="false">
      <c r="A4" s="4" t="s">
        <v>93</v>
      </c>
      <c r="B4" s="10" t="n">
        <f aca="false">Assumptions!B6</f>
        <v>5500</v>
      </c>
      <c r="C4" s="7"/>
      <c r="D4" s="7"/>
    </row>
    <row r="5" customFormat="false" ht="15" hidden="false" customHeight="true" outlineLevel="0" collapsed="false">
      <c r="A5" s="4" t="s">
        <v>94</v>
      </c>
      <c r="B5" s="28" t="n">
        <f aca="false">Assumptions!B7</f>
        <v>8</v>
      </c>
      <c r="C5" s="7"/>
      <c r="D5" s="7"/>
    </row>
    <row r="6" customFormat="false" ht="26.25" hidden="false" customHeight="true" outlineLevel="0" collapsed="false">
      <c r="A6" s="4" t="s">
        <v>95</v>
      </c>
      <c r="B6" s="9" t="n">
        <f aca="false">B4/B5</f>
        <v>687.5</v>
      </c>
      <c r="C6" s="7"/>
      <c r="D6" s="7"/>
    </row>
    <row r="7" customFormat="false" ht="26.25" hidden="false" customHeight="true" outlineLevel="0" collapsed="false">
      <c r="A7" s="4" t="s">
        <v>96</v>
      </c>
      <c r="B7" s="9" t="n">
        <f aca="false">B6*12</f>
        <v>8250</v>
      </c>
      <c r="C7" s="7"/>
      <c r="D7" s="7"/>
    </row>
    <row r="9" customFormat="false" ht="15" hidden="false" customHeight="true" outlineLevel="0" collapsed="false">
      <c r="A9" s="6" t="s">
        <v>97</v>
      </c>
      <c r="B9" s="6"/>
      <c r="C9" s="6"/>
      <c r="D9" s="6"/>
    </row>
    <row r="10" customFormat="false" ht="21.75" hidden="false" customHeight="true" outlineLevel="0" collapsed="false">
      <c r="A10" s="4" t="s">
        <v>98</v>
      </c>
      <c r="B10" s="26" t="n">
        <v>0.85</v>
      </c>
      <c r="C10" s="5" t="s">
        <v>99</v>
      </c>
      <c r="D10" s="7"/>
    </row>
    <row r="11" customFormat="false" ht="15" hidden="false" customHeight="true" outlineLevel="0" collapsed="false">
      <c r="A11" s="4" t="s">
        <v>100</v>
      </c>
      <c r="B11" s="9" t="n">
        <f aca="false">B7*B10</f>
        <v>7012.5</v>
      </c>
      <c r="C11" s="7"/>
      <c r="D11" s="7"/>
    </row>
    <row r="12" customFormat="false" ht="15" hidden="false" customHeight="true" outlineLevel="0" collapsed="false">
      <c r="A12" s="4" t="s">
        <v>101</v>
      </c>
      <c r="B12" s="29" t="n">
        <f aca="false">Assumptions!B14</f>
        <v>4.5</v>
      </c>
      <c r="C12" s="7"/>
      <c r="D12" s="7"/>
    </row>
    <row r="13" customFormat="false" ht="26.25" hidden="false" customHeight="true" outlineLevel="0" collapsed="false">
      <c r="A13" s="4" t="s">
        <v>102</v>
      </c>
      <c r="B13" s="30" t="n">
        <f aca="false">Assumptions!B15</f>
        <v>0.8</v>
      </c>
      <c r="C13" s="7"/>
      <c r="D13" s="7"/>
    </row>
    <row r="14" customFormat="false" ht="15" hidden="false" customHeight="true" outlineLevel="0" collapsed="false">
      <c r="A14" s="4" t="s">
        <v>103</v>
      </c>
      <c r="B14" s="28" t="n">
        <f aca="false">B11/(B12*365*B13)</f>
        <v>5.33675799086758</v>
      </c>
      <c r="C14" s="5" t="s">
        <v>104</v>
      </c>
      <c r="D14" s="7"/>
    </row>
    <row r="16" customFormat="false" ht="15" hidden="false" customHeight="true" outlineLevel="0" collapsed="false">
      <c r="A16" s="6" t="s">
        <v>105</v>
      </c>
      <c r="B16" s="6"/>
      <c r="C16" s="6"/>
      <c r="D16" s="6"/>
    </row>
    <row r="17" customFormat="false" ht="15" hidden="false" customHeight="true" outlineLevel="0" collapsed="false">
      <c r="A17" s="4" t="s">
        <v>106</v>
      </c>
      <c r="B17" s="19" t="n">
        <v>575</v>
      </c>
      <c r="C17" s="7"/>
      <c r="D17" s="7"/>
    </row>
    <row r="18" customFormat="false" ht="21.75" hidden="false" customHeight="true" outlineLevel="0" collapsed="false">
      <c r="A18" s="4" t="s">
        <v>107</v>
      </c>
      <c r="B18" s="19" t="n">
        <v>9</v>
      </c>
      <c r="C18" s="5" t="s">
        <v>108</v>
      </c>
      <c r="D18" s="7"/>
    </row>
    <row r="19" customFormat="false" ht="15" hidden="false" customHeight="true" outlineLevel="0" collapsed="false">
      <c r="A19" s="11" t="s">
        <v>109</v>
      </c>
      <c r="B19" s="31" t="n">
        <f aca="false">B17*B18/1000</f>
        <v>5.175</v>
      </c>
      <c r="C19" s="13"/>
      <c r="D19" s="13"/>
    </row>
    <row r="20" customFormat="false" ht="26.25" hidden="false" customHeight="true" outlineLevel="0" collapsed="false">
      <c r="A20" s="4" t="s">
        <v>110</v>
      </c>
      <c r="B20" s="4" t="str">
        <f aca="false">IF(ABS(B19-B14)/B14&lt;0.15,"Within 15% - acceptable fit","Review sizing")</f>
        <v>Within 15% - acceptable fit</v>
      </c>
      <c r="C20" s="7"/>
      <c r="D20" s="7"/>
    </row>
    <row r="22" customFormat="false" ht="45" hidden="false" customHeight="true" outlineLevel="0" collapsed="false">
      <c r="A22" s="32" t="s">
        <v>111</v>
      </c>
      <c r="B22" s="32"/>
      <c r="C22" s="32"/>
      <c r="D22" s="32"/>
    </row>
  </sheetData>
  <mergeCells count="5">
    <mergeCell ref="A1:D1"/>
    <mergeCell ref="A3:D3"/>
    <mergeCell ref="A9:D9"/>
    <mergeCell ref="A16:D16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6"/>
  </cols>
  <sheetData>
    <row r="1" customFormat="false" ht="15" hidden="false" customHeight="true" outlineLevel="0" collapsed="false">
      <c r="A1" s="2" t="s">
        <v>112</v>
      </c>
      <c r="B1" s="2"/>
      <c r="C1" s="2"/>
    </row>
    <row r="3" customFormat="false" ht="15" hidden="false" customHeight="true" outlineLevel="0" collapsed="false">
      <c r="A3" s="6" t="s">
        <v>113</v>
      </c>
      <c r="B3" s="6"/>
      <c r="C3" s="6"/>
    </row>
    <row r="4" customFormat="false" ht="15" hidden="false" customHeight="true" outlineLevel="0" collapsed="false">
      <c r="A4" s="4" t="s">
        <v>114</v>
      </c>
      <c r="B4" s="4" t="s">
        <v>115</v>
      </c>
      <c r="C4" s="5"/>
    </row>
    <row r="5" customFormat="false" ht="26.25" hidden="false" customHeight="true" outlineLevel="0" collapsed="false">
      <c r="A5" s="4" t="s">
        <v>116</v>
      </c>
      <c r="B5" s="4" t="s">
        <v>117</v>
      </c>
      <c r="C5" s="5"/>
    </row>
    <row r="6" customFormat="false" ht="15" hidden="false" customHeight="true" outlineLevel="0" collapsed="false">
      <c r="A6" s="4" t="s">
        <v>118</v>
      </c>
      <c r="B6" s="4" t="s">
        <v>119</v>
      </c>
      <c r="C6" s="5"/>
    </row>
    <row r="7" customFormat="false" ht="15" hidden="false" customHeight="true" outlineLevel="0" collapsed="false">
      <c r="A7" s="4" t="s">
        <v>120</v>
      </c>
      <c r="B7" s="4" t="s">
        <v>121</v>
      </c>
      <c r="C7" s="5"/>
    </row>
    <row r="8" customFormat="false" ht="15" hidden="false" customHeight="true" outlineLevel="0" collapsed="false">
      <c r="A8" s="4" t="s">
        <v>122</v>
      </c>
      <c r="B8" s="4" t="s">
        <v>123</v>
      </c>
      <c r="C8" s="5" t="s">
        <v>124</v>
      </c>
    </row>
    <row r="9" customFormat="false" ht="15" hidden="false" customHeight="true" outlineLevel="0" collapsed="false">
      <c r="A9" s="4" t="s">
        <v>125</v>
      </c>
      <c r="B9" s="4" t="s">
        <v>126</v>
      </c>
      <c r="C9" s="5" t="s">
        <v>127</v>
      </c>
    </row>
    <row r="10" customFormat="false" ht="15" hidden="false" customHeight="true" outlineLevel="0" collapsed="false">
      <c r="A10" s="4" t="s">
        <v>128</v>
      </c>
      <c r="B10" s="4" t="s">
        <v>129</v>
      </c>
      <c r="C10" s="5"/>
    </row>
    <row r="11" customFormat="false" ht="39" hidden="false" customHeight="true" outlineLevel="0" collapsed="false">
      <c r="A11" s="4" t="s">
        <v>130</v>
      </c>
      <c r="B11" s="4" t="s">
        <v>131</v>
      </c>
      <c r="C11" s="5"/>
    </row>
    <row r="12" customFormat="false" ht="153" hidden="false" customHeight="true" outlineLevel="0" collapsed="false">
      <c r="A12" s="4" t="s">
        <v>132</v>
      </c>
      <c r="B12" s="4" t="s">
        <v>133</v>
      </c>
      <c r="C12" s="5"/>
    </row>
    <row r="14" customFormat="false" ht="15" hidden="false" customHeight="true" outlineLevel="0" collapsed="false">
      <c r="A14" s="6" t="s">
        <v>134</v>
      </c>
      <c r="B14" s="6"/>
      <c r="C14" s="6"/>
    </row>
    <row r="15" customFormat="false" ht="64.5" hidden="false" customHeight="true" outlineLevel="0" collapsed="false">
      <c r="A15" s="33" t="s">
        <v>135</v>
      </c>
      <c r="B15" s="33"/>
      <c r="C15" s="33"/>
    </row>
    <row r="16" customFormat="false" ht="32.25" hidden="false" customHeight="true" outlineLevel="0" collapsed="false">
      <c r="A16" s="34" t="s">
        <v>136</v>
      </c>
      <c r="B16" s="35" t="s">
        <v>137</v>
      </c>
      <c r="C16" s="36" t="s">
        <v>138</v>
      </c>
    </row>
    <row r="17" customFormat="false" ht="32.25" hidden="false" customHeight="true" outlineLevel="0" collapsed="false">
      <c r="A17" s="37" t="s">
        <v>139</v>
      </c>
      <c r="B17" s="37" t="s">
        <v>140</v>
      </c>
      <c r="C17" s="38" t="s">
        <v>141</v>
      </c>
    </row>
    <row r="18" customFormat="false" ht="39" hidden="false" customHeight="true" outlineLevel="0" collapsed="false">
      <c r="A18" s="4" t="s">
        <v>142</v>
      </c>
      <c r="B18" s="4" t="s">
        <v>143</v>
      </c>
      <c r="C18" s="5" t="s">
        <v>144</v>
      </c>
    </row>
    <row r="20" customFormat="false" ht="15" hidden="false" customHeight="true" outlineLevel="0" collapsed="false">
      <c r="A20" s="39" t="s">
        <v>145</v>
      </c>
      <c r="B20" s="39"/>
      <c r="C20" s="39"/>
    </row>
    <row r="21" customFormat="false" ht="26.25" hidden="false" customHeight="true" outlineLevel="0" collapsed="false">
      <c r="A21" s="4" t="s">
        <v>146</v>
      </c>
      <c r="B21" s="4" t="s">
        <v>147</v>
      </c>
      <c r="C21" s="5" t="s">
        <v>148</v>
      </c>
    </row>
    <row r="22" customFormat="false" ht="15" hidden="false" customHeight="true" outlineLevel="0" collapsed="false">
      <c r="A22" s="4" t="s">
        <v>149</v>
      </c>
      <c r="B22" s="4" t="s">
        <v>126</v>
      </c>
      <c r="C22" s="5" t="s">
        <v>150</v>
      </c>
    </row>
    <row r="23" customFormat="false" ht="42.75" hidden="false" customHeight="true" outlineLevel="0" collapsed="false">
      <c r="A23" s="4" t="s">
        <v>151</v>
      </c>
      <c r="B23" s="4" t="s">
        <v>152</v>
      </c>
      <c r="C23" s="5" t="s">
        <v>153</v>
      </c>
    </row>
    <row r="25" customFormat="false" ht="15" hidden="false" customHeight="true" outlineLevel="0" collapsed="false">
      <c r="A25" s="6" t="s">
        <v>154</v>
      </c>
      <c r="B25" s="6"/>
      <c r="C25" s="6"/>
    </row>
    <row r="26" customFormat="false" ht="15" hidden="false" customHeight="true" outlineLevel="0" collapsed="false">
      <c r="A26" s="4" t="s">
        <v>155</v>
      </c>
      <c r="B26" s="4" t="s">
        <v>156</v>
      </c>
      <c r="C26" s="5"/>
    </row>
    <row r="27" customFormat="false" ht="15" hidden="false" customHeight="true" outlineLevel="0" collapsed="false">
      <c r="A27" s="4" t="s">
        <v>157</v>
      </c>
      <c r="B27" s="4" t="s">
        <v>158</v>
      </c>
      <c r="C27" s="5"/>
    </row>
    <row r="28" customFormat="false" ht="15" hidden="false" customHeight="true" outlineLevel="0" collapsed="false">
      <c r="A28" s="4" t="s">
        <v>159</v>
      </c>
      <c r="B28" s="4" t="s">
        <v>160</v>
      </c>
      <c r="C28" s="5"/>
    </row>
    <row r="29" customFormat="false" ht="15" hidden="false" customHeight="true" outlineLevel="0" collapsed="false">
      <c r="A29" s="4" t="s">
        <v>161</v>
      </c>
      <c r="B29" s="4" t="s">
        <v>162</v>
      </c>
      <c r="C29" s="5"/>
    </row>
    <row r="30" customFormat="false" ht="15" hidden="false" customHeight="true" outlineLevel="0" collapsed="false">
      <c r="A30" s="4" t="s">
        <v>163</v>
      </c>
      <c r="B30" s="4" t="s">
        <v>164</v>
      </c>
      <c r="C30" s="5"/>
    </row>
    <row r="31" customFormat="false" ht="15" hidden="false" customHeight="true" outlineLevel="0" collapsed="false">
      <c r="A31" s="4" t="s">
        <v>165</v>
      </c>
      <c r="B31" s="4" t="s">
        <v>166</v>
      </c>
      <c r="C31" s="5"/>
    </row>
    <row r="32" customFormat="false" ht="21.75" hidden="false" customHeight="true" outlineLevel="0" collapsed="false">
      <c r="A32" s="4" t="s">
        <v>167</v>
      </c>
      <c r="B32" s="4" t="s">
        <v>168</v>
      </c>
      <c r="C32" s="5" t="s">
        <v>169</v>
      </c>
    </row>
    <row r="33" customFormat="false" ht="39" hidden="false" customHeight="true" outlineLevel="0" collapsed="false">
      <c r="A33" s="4" t="s">
        <v>170</v>
      </c>
      <c r="B33" s="4" t="s">
        <v>171</v>
      </c>
      <c r="C33" s="5"/>
    </row>
  </sheetData>
  <mergeCells count="6">
    <mergeCell ref="A1:C1"/>
    <mergeCell ref="A3:C3"/>
    <mergeCell ref="A14:C14"/>
    <mergeCell ref="A15:C15"/>
    <mergeCell ref="A20:C20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8"/>
    <col collapsed="false" customWidth="true" hidden="false" outlineLevel="0" max="5" min="4" style="1" width="14"/>
    <col collapsed="false" customWidth="true" hidden="false" outlineLevel="0" max="6" min="6" style="1" width="34"/>
  </cols>
  <sheetData>
    <row r="1" customFormat="false" ht="15" hidden="false" customHeight="true" outlineLevel="0" collapsed="false">
      <c r="A1" s="2" t="s">
        <v>172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0" t="s">
        <v>173</v>
      </c>
      <c r="B3" s="40" t="s">
        <v>174</v>
      </c>
      <c r="C3" s="40" t="s">
        <v>175</v>
      </c>
      <c r="D3" s="40" t="s">
        <v>176</v>
      </c>
      <c r="E3" s="40" t="s">
        <v>177</v>
      </c>
      <c r="F3" s="40" t="s">
        <v>178</v>
      </c>
    </row>
    <row r="4" customFormat="false" ht="15" hidden="false" customHeight="true" outlineLevel="0" collapsed="false">
      <c r="A4" s="6" t="s">
        <v>179</v>
      </c>
      <c r="B4" s="6"/>
      <c r="C4" s="6"/>
      <c r="D4" s="6"/>
      <c r="E4" s="6"/>
      <c r="F4" s="6"/>
    </row>
    <row r="5" customFormat="false" ht="26.25" hidden="false" customHeight="true" outlineLevel="0" collapsed="false">
      <c r="A5" s="4" t="s">
        <v>180</v>
      </c>
      <c r="B5" s="19" t="n">
        <v>9</v>
      </c>
      <c r="C5" s="4" t="s">
        <v>181</v>
      </c>
      <c r="D5" s="20" t="n">
        <v>11299</v>
      </c>
      <c r="E5" s="10" t="n">
        <f aca="false">B5*D5</f>
        <v>101691</v>
      </c>
      <c r="F5" s="5" t="s">
        <v>182</v>
      </c>
    </row>
    <row r="6" customFormat="false" ht="42.75" hidden="false" customHeight="true" outlineLevel="0" collapsed="false">
      <c r="A6" s="4" t="s">
        <v>183</v>
      </c>
      <c r="B6" s="19" t="n">
        <v>1</v>
      </c>
      <c r="C6" s="4" t="s">
        <v>181</v>
      </c>
      <c r="D6" s="20" t="n">
        <v>42000</v>
      </c>
      <c r="E6" s="10" t="n">
        <f aca="false">B6*D6</f>
        <v>42000</v>
      </c>
      <c r="F6" s="5" t="s">
        <v>184</v>
      </c>
    </row>
    <row r="7" customFormat="false" ht="15" hidden="false" customHeight="true" outlineLevel="0" collapsed="false">
      <c r="A7" s="6" t="s">
        <v>185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4" t="s">
        <v>186</v>
      </c>
      <c r="B8" s="19" t="n">
        <v>1</v>
      </c>
      <c r="C8" s="4" t="s">
        <v>187</v>
      </c>
      <c r="D8" s="20" t="n">
        <v>25000</v>
      </c>
      <c r="E8" s="10" t="n">
        <f aca="false">B8*D8</f>
        <v>25000</v>
      </c>
      <c r="F8" s="5" t="s">
        <v>188</v>
      </c>
    </row>
    <row r="9" customFormat="false" ht="21.75" hidden="false" customHeight="true" outlineLevel="0" collapsed="false">
      <c r="A9" s="4" t="s">
        <v>189</v>
      </c>
      <c r="B9" s="19" t="n">
        <v>1</v>
      </c>
      <c r="C9" s="4" t="s">
        <v>187</v>
      </c>
      <c r="D9" s="20" t="n">
        <v>7000</v>
      </c>
      <c r="E9" s="10" t="n">
        <f aca="false">B9*D9</f>
        <v>7000</v>
      </c>
      <c r="F9" s="5" t="s">
        <v>190</v>
      </c>
    </row>
    <row r="10" customFormat="false" ht="15" hidden="false" customHeight="true" outlineLevel="0" collapsed="false">
      <c r="A10" s="4" t="s">
        <v>191</v>
      </c>
      <c r="B10" s="19" t="n">
        <v>1</v>
      </c>
      <c r="C10" s="4" t="s">
        <v>187</v>
      </c>
      <c r="D10" s="20" t="n">
        <v>5000</v>
      </c>
      <c r="E10" s="10" t="n">
        <f aca="false">B10*D10</f>
        <v>5000</v>
      </c>
      <c r="F10" s="5" t="s">
        <v>192</v>
      </c>
    </row>
    <row r="11" customFormat="false" ht="15" hidden="false" customHeight="true" outlineLevel="0" collapsed="false">
      <c r="A11" s="4" t="s">
        <v>193</v>
      </c>
      <c r="B11" s="19" t="n">
        <v>1</v>
      </c>
      <c r="C11" s="4" t="s">
        <v>187</v>
      </c>
      <c r="D11" s="20" t="n">
        <v>3500</v>
      </c>
      <c r="E11" s="10" t="n">
        <f aca="false">B11*D11</f>
        <v>3500</v>
      </c>
      <c r="F11" s="5" t="s">
        <v>192</v>
      </c>
    </row>
    <row r="12" customFormat="false" ht="26.25" hidden="false" customHeight="true" outlineLevel="0" collapsed="false">
      <c r="A12" s="4" t="s">
        <v>194</v>
      </c>
      <c r="B12" s="19" t="n">
        <v>1</v>
      </c>
      <c r="C12" s="4" t="s">
        <v>187</v>
      </c>
      <c r="D12" s="20" t="n">
        <v>8000</v>
      </c>
      <c r="E12" s="10" t="n">
        <f aca="false">B12*D12</f>
        <v>8000</v>
      </c>
      <c r="F12" s="5" t="s">
        <v>192</v>
      </c>
    </row>
    <row r="13" customFormat="false" ht="26.25" hidden="false" customHeight="true" outlineLevel="0" collapsed="false">
      <c r="A13" s="4" t="s">
        <v>195</v>
      </c>
      <c r="B13" s="19" t="n">
        <v>1</v>
      </c>
      <c r="C13" s="4" t="s">
        <v>187</v>
      </c>
      <c r="D13" s="20" t="n">
        <v>4000</v>
      </c>
      <c r="E13" s="10" t="n">
        <f aca="false">B13*D13</f>
        <v>4000</v>
      </c>
      <c r="F13" s="5" t="s">
        <v>192</v>
      </c>
    </row>
    <row r="14" customFormat="false" ht="26.25" hidden="false" customHeight="true" outlineLevel="0" collapsed="false">
      <c r="A14" s="4" t="s">
        <v>196</v>
      </c>
      <c r="B14" s="19" t="n">
        <v>1</v>
      </c>
      <c r="C14" s="4" t="s">
        <v>187</v>
      </c>
      <c r="D14" s="20" t="n">
        <v>6000</v>
      </c>
      <c r="E14" s="10" t="n">
        <f aca="false">B14*D14</f>
        <v>6000</v>
      </c>
      <c r="F14" s="5" t="s">
        <v>197</v>
      </c>
    </row>
    <row r="15" customFormat="false" ht="15" hidden="false" customHeight="true" outlineLevel="0" collapsed="false">
      <c r="A15" s="4" t="s">
        <v>198</v>
      </c>
      <c r="B15" s="19" t="n">
        <v>1</v>
      </c>
      <c r="C15" s="4" t="s">
        <v>187</v>
      </c>
      <c r="D15" s="20" t="n">
        <v>3000</v>
      </c>
      <c r="E15" s="10" t="n">
        <f aca="false">B15*D15</f>
        <v>3000</v>
      </c>
      <c r="F15" s="5" t="s">
        <v>192</v>
      </c>
    </row>
    <row r="16" customFormat="false" ht="26.25" hidden="false" customHeight="true" outlineLevel="0" collapsed="false">
      <c r="A16" s="4" t="s">
        <v>199</v>
      </c>
      <c r="B16" s="19" t="n">
        <v>1</v>
      </c>
      <c r="C16" s="4" t="s">
        <v>187</v>
      </c>
      <c r="D16" s="20" t="n">
        <v>2500</v>
      </c>
      <c r="E16" s="10" t="n">
        <f aca="false">B16*D16</f>
        <v>2500</v>
      </c>
      <c r="F16" s="5" t="s">
        <v>200</v>
      </c>
    </row>
    <row r="17" customFormat="false" ht="15" hidden="false" customHeight="true" outlineLevel="0" collapsed="false">
      <c r="A17" s="6" t="s">
        <v>201</v>
      </c>
      <c r="B17" s="6"/>
      <c r="C17" s="6"/>
      <c r="D17" s="6"/>
      <c r="E17" s="6"/>
      <c r="F17" s="6"/>
    </row>
    <row r="18" customFormat="false" ht="21.75" hidden="false" customHeight="true" outlineLevel="0" collapsed="false">
      <c r="A18" s="4" t="s">
        <v>202</v>
      </c>
      <c r="B18" s="19" t="n">
        <v>1</v>
      </c>
      <c r="C18" s="4" t="s">
        <v>187</v>
      </c>
      <c r="D18" s="20" t="n">
        <v>15000</v>
      </c>
      <c r="E18" s="10" t="n">
        <f aca="false">B18*D18</f>
        <v>15000</v>
      </c>
      <c r="F18" s="5" t="s">
        <v>203</v>
      </c>
    </row>
    <row r="19" customFormat="false" ht="15" hidden="false" customHeight="true" outlineLevel="0" collapsed="false">
      <c r="A19" s="4" t="s">
        <v>204</v>
      </c>
      <c r="B19" s="19" t="n">
        <v>1</v>
      </c>
      <c r="C19" s="4" t="s">
        <v>187</v>
      </c>
      <c r="D19" s="20" t="n">
        <v>3000</v>
      </c>
      <c r="E19" s="10" t="n">
        <f aca="false">B19*D19</f>
        <v>3000</v>
      </c>
      <c r="F19" s="5" t="s">
        <v>192</v>
      </c>
    </row>
    <row r="20" customFormat="false" ht="26.25" hidden="false" customHeight="true" outlineLevel="0" collapsed="false">
      <c r="A20" s="4" t="s">
        <v>205</v>
      </c>
      <c r="B20" s="19" t="n">
        <v>1</v>
      </c>
      <c r="C20" s="4" t="s">
        <v>187</v>
      </c>
      <c r="D20" s="20" t="n">
        <v>8000</v>
      </c>
      <c r="E20" s="10" t="n">
        <f aca="false">B20*D20</f>
        <v>8000</v>
      </c>
      <c r="F20" s="5" t="s">
        <v>206</v>
      </c>
    </row>
    <row r="21" customFormat="false" ht="26.25" hidden="false" customHeight="true" outlineLevel="0" collapsed="false">
      <c r="A21" s="4" t="s">
        <v>207</v>
      </c>
      <c r="B21" s="19" t="n">
        <v>1</v>
      </c>
      <c r="C21" s="4" t="s">
        <v>187</v>
      </c>
      <c r="D21" s="20" t="n">
        <v>3000</v>
      </c>
      <c r="E21" s="10" t="n">
        <f aca="false">B21*D21</f>
        <v>3000</v>
      </c>
      <c r="F21" s="5" t="s">
        <v>192</v>
      </c>
    </row>
    <row r="23" customFormat="false" ht="26.25" hidden="false" customHeight="true" outlineLevel="0" collapsed="false">
      <c r="A23" s="11" t="s">
        <v>208</v>
      </c>
      <c r="B23" s="13"/>
      <c r="C23" s="13"/>
      <c r="D23" s="13"/>
      <c r="E23" s="12" t="n">
        <f aca="false">SUM(E5:E21)</f>
        <v>236691</v>
      </c>
      <c r="F23" s="13"/>
    </row>
    <row r="24" customFormat="false" ht="21.75" hidden="false" customHeight="true" outlineLevel="0" collapsed="false">
      <c r="A24" s="4" t="s">
        <v>209</v>
      </c>
      <c r="B24" s="7"/>
      <c r="C24" s="7"/>
      <c r="D24" s="26" t="n">
        <v>0.05</v>
      </c>
      <c r="E24" s="10" t="n">
        <f aca="false">E23*D24</f>
        <v>11834.55</v>
      </c>
      <c r="F24" s="5" t="s">
        <v>210</v>
      </c>
    </row>
    <row r="26" customFormat="false" ht="15" hidden="false" customHeight="true" outlineLevel="0" collapsed="false">
      <c r="A26" s="11" t="s">
        <v>211</v>
      </c>
      <c r="B26" s="13"/>
      <c r="C26" s="13"/>
      <c r="D26" s="13"/>
      <c r="E26" s="12" t="n">
        <f aca="false">E23+E24</f>
        <v>248525.55</v>
      </c>
      <c r="F26" s="13"/>
    </row>
    <row r="28" customFormat="false" ht="15" hidden="false" customHeight="true" outlineLevel="0" collapsed="false">
      <c r="A28" s="6" t="s">
        <v>212</v>
      </c>
      <c r="B28" s="6"/>
      <c r="C28" s="6"/>
      <c r="D28" s="6"/>
      <c r="E28" s="6"/>
      <c r="F28" s="6"/>
    </row>
    <row r="29" customFormat="false" ht="32.25" hidden="false" customHeight="true" outlineLevel="0" collapsed="false">
      <c r="A29" s="4" t="s">
        <v>213</v>
      </c>
      <c r="B29" s="7"/>
      <c r="C29" s="7"/>
      <c r="D29" s="41" t="n">
        <v>0.12</v>
      </c>
      <c r="E29" s="7"/>
      <c r="F29" s="5" t="s">
        <v>214</v>
      </c>
    </row>
    <row r="30" customFormat="false" ht="26.25" hidden="false" customHeight="true" outlineLevel="0" collapsed="false">
      <c r="A30" s="42" t="s">
        <v>215</v>
      </c>
      <c r="B30" s="43"/>
      <c r="C30" s="43"/>
      <c r="D30" s="43"/>
      <c r="E30" s="44" t="n">
        <f aca="false">E26*(1+D29)</f>
        <v>278348.616</v>
      </c>
      <c r="F30" s="43"/>
    </row>
    <row r="32" customFormat="false" ht="15" hidden="false" customHeight="true" outlineLevel="0" collapsed="false">
      <c r="A32" s="6" t="s">
        <v>216</v>
      </c>
      <c r="B32" s="6"/>
      <c r="C32" s="6"/>
      <c r="D32" s="6"/>
      <c r="E32" s="6"/>
      <c r="F32" s="6"/>
    </row>
    <row r="33" customFormat="false" ht="15" hidden="false" customHeight="true" outlineLevel="0" collapsed="false">
      <c r="A33" s="4" t="s">
        <v>217</v>
      </c>
      <c r="B33" s="7"/>
      <c r="C33" s="7"/>
      <c r="D33" s="7"/>
      <c r="E33" s="8" t="n">
        <f aca="false">'Load &amp; Sizing'!B19</f>
        <v>5.175</v>
      </c>
      <c r="F33" s="7"/>
    </row>
    <row r="34" customFormat="false" ht="32.25" hidden="false" customHeight="true" outlineLevel="0" collapsed="false">
      <c r="A34" s="4" t="s">
        <v>218</v>
      </c>
      <c r="B34" s="7"/>
      <c r="C34" s="7"/>
      <c r="D34" s="7"/>
      <c r="E34" s="27" t="n">
        <f aca="false">Assumptions!B26</f>
        <v>78000</v>
      </c>
      <c r="F34" s="5" t="s">
        <v>219</v>
      </c>
    </row>
    <row r="36" customFormat="false" ht="26.25" hidden="false" customHeight="true" outlineLevel="0" collapsed="false">
      <c r="A36" s="42" t="s">
        <v>220</v>
      </c>
      <c r="B36" s="43"/>
      <c r="C36" s="43"/>
      <c r="D36" s="43"/>
      <c r="E36" s="44" t="n">
        <f aca="false">E30-E34</f>
        <v>200348.616</v>
      </c>
      <c r="F36" s="43"/>
    </row>
  </sheetData>
  <mergeCells count="6">
    <mergeCell ref="A1:F1"/>
    <mergeCell ref="A4:F4"/>
    <mergeCell ref="A7:F7"/>
    <mergeCell ref="A17:F17"/>
    <mergeCell ref="A28:F28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221</v>
      </c>
      <c r="B1" s="2"/>
      <c r="C1" s="2"/>
    </row>
    <row r="3" customFormat="false" ht="15" hidden="false" customHeight="true" outlineLevel="0" collapsed="false">
      <c r="A3" s="6" t="s">
        <v>222</v>
      </c>
      <c r="B3" s="6"/>
      <c r="C3" s="6"/>
    </row>
    <row r="4" customFormat="false" ht="15" hidden="false" customHeight="true" outlineLevel="0" collapsed="false">
      <c r="A4" s="4" t="s">
        <v>6</v>
      </c>
      <c r="B4" s="8" t="n">
        <f aca="false">'Load &amp; Sizing'!B19</f>
        <v>5.175</v>
      </c>
      <c r="C4" s="7"/>
    </row>
    <row r="5" customFormat="false" ht="15" hidden="false" customHeight="true" outlineLevel="0" collapsed="false">
      <c r="A5" s="4" t="s">
        <v>223</v>
      </c>
      <c r="B5" s="29" t="n">
        <f aca="false">Assumptions!B14</f>
        <v>4.5</v>
      </c>
      <c r="C5" s="7"/>
    </row>
    <row r="6" customFormat="false" ht="15" hidden="false" customHeight="true" outlineLevel="0" collapsed="false">
      <c r="A6" s="4" t="s">
        <v>224</v>
      </c>
      <c r="B6" s="30" t="n">
        <f aca="false">Assumptions!B15</f>
        <v>0.8</v>
      </c>
      <c r="C6" s="7"/>
    </row>
    <row r="7" customFormat="false" ht="26.25" hidden="false" customHeight="true" outlineLevel="0" collapsed="false">
      <c r="A7" s="11" t="s">
        <v>7</v>
      </c>
      <c r="B7" s="45" t="n">
        <f aca="false">B4*B5*365*B6</f>
        <v>6799.95</v>
      </c>
      <c r="C7" s="46" t="s">
        <v>225</v>
      </c>
    </row>
    <row r="8" customFormat="false" ht="42.75" hidden="false" customHeight="true" outlineLevel="0" collapsed="false">
      <c r="A8" s="4" t="s">
        <v>226</v>
      </c>
      <c r="B8" s="9" t="n">
        <f aca="false">B7/B4</f>
        <v>1314</v>
      </c>
      <c r="C8" s="5" t="s">
        <v>227</v>
      </c>
    </row>
    <row r="10" customFormat="false" ht="15" hidden="false" customHeight="true" outlineLevel="0" collapsed="false">
      <c r="A10" s="6" t="s">
        <v>228</v>
      </c>
      <c r="B10" s="6"/>
      <c r="C10" s="6"/>
    </row>
    <row r="11" customFormat="false" ht="15" hidden="false" customHeight="true" outlineLevel="0" collapsed="false">
      <c r="A11" s="4" t="s">
        <v>229</v>
      </c>
      <c r="B11" s="30" t="n">
        <f aca="false">Assumptions!B19</f>
        <v>0.55</v>
      </c>
      <c r="C11" s="7"/>
    </row>
    <row r="12" customFormat="false" ht="15" hidden="false" customHeight="true" outlineLevel="0" collapsed="false">
      <c r="A12" s="4" t="s">
        <v>230</v>
      </c>
      <c r="B12" s="9" t="n">
        <f aca="false">B7*B11</f>
        <v>3739.9725</v>
      </c>
      <c r="C12" s="7"/>
    </row>
    <row r="13" customFormat="false" ht="15" hidden="false" customHeight="true" outlineLevel="0" collapsed="false">
      <c r="A13" s="4" t="s">
        <v>231</v>
      </c>
      <c r="B13" s="9" t="n">
        <f aca="false">B7-B12</f>
        <v>3059.9775</v>
      </c>
      <c r="C13" s="7"/>
    </row>
    <row r="14" customFormat="false" ht="15" hidden="false" customHeight="true" outlineLevel="0" collapsed="false">
      <c r="A14" s="4" t="s">
        <v>232</v>
      </c>
      <c r="B14" s="28" t="n">
        <f aca="false">Assumptions!B7</f>
        <v>8</v>
      </c>
      <c r="C14" s="7"/>
    </row>
    <row r="15" customFormat="false" ht="15" hidden="false" customHeight="true" outlineLevel="0" collapsed="false">
      <c r="A15" s="4" t="s">
        <v>233</v>
      </c>
      <c r="B15" s="28" t="n">
        <f aca="false">Assumptions!B20</f>
        <v>6.5</v>
      </c>
      <c r="C15" s="7"/>
    </row>
    <row r="16" customFormat="false" ht="15" hidden="false" customHeight="true" outlineLevel="0" collapsed="false">
      <c r="A16" s="4" t="s">
        <v>234</v>
      </c>
      <c r="B16" s="10" t="n">
        <f aca="false">B12*B14</f>
        <v>29919.78</v>
      </c>
      <c r="C16" s="7"/>
    </row>
    <row r="17" customFormat="false" ht="15" hidden="false" customHeight="true" outlineLevel="0" collapsed="false">
      <c r="A17" s="4" t="s">
        <v>235</v>
      </c>
      <c r="B17" s="10" t="n">
        <f aca="false">B13*B15</f>
        <v>19889.85375</v>
      </c>
      <c r="C17" s="7"/>
    </row>
    <row r="18" customFormat="false" ht="15" hidden="false" customHeight="true" outlineLevel="0" collapsed="false">
      <c r="A18" s="4" t="s">
        <v>236</v>
      </c>
      <c r="B18" s="10" t="n">
        <f aca="false">-Assumptions!B17</f>
        <v>-2500</v>
      </c>
      <c r="C18" s="7"/>
    </row>
    <row r="19" customFormat="false" ht="15" hidden="false" customHeight="true" outlineLevel="0" collapsed="false">
      <c r="A19" s="42" t="s">
        <v>237</v>
      </c>
      <c r="B19" s="44" t="n">
        <f aca="false">B16+B17+B18</f>
        <v>47309.63375</v>
      </c>
      <c r="C19" s="43"/>
    </row>
    <row r="21" customFormat="false" ht="15" hidden="false" customHeight="true" outlineLevel="0" collapsed="false">
      <c r="A21" s="6" t="s">
        <v>238</v>
      </c>
      <c r="B21" s="6"/>
      <c r="C21" s="6"/>
    </row>
    <row r="22" customFormat="false" ht="26.25" hidden="false" customHeight="true" outlineLevel="0" collapsed="false">
      <c r="A22" s="4" t="s">
        <v>239</v>
      </c>
      <c r="B22" s="10" t="n">
        <f aca="false">'BOM &amp; Costing'!E36</f>
        <v>200348.616</v>
      </c>
      <c r="C22" s="7"/>
    </row>
    <row r="23" customFormat="false" ht="32.25" hidden="false" customHeight="true" outlineLevel="0" collapsed="false">
      <c r="A23" s="42" t="s">
        <v>240</v>
      </c>
      <c r="B23" s="47" t="n">
        <f aca="false">B22/B19</f>
        <v>4.23483760323974</v>
      </c>
      <c r="C23" s="48" t="s">
        <v>241</v>
      </c>
    </row>
    <row r="25" customFormat="false" ht="15" hidden="false" customHeight="true" outlineLevel="0" collapsed="false">
      <c r="A25" s="6" t="s">
        <v>242</v>
      </c>
      <c r="B25" s="6"/>
      <c r="C25" s="6"/>
    </row>
    <row r="26" customFormat="false" ht="15" hidden="false" customHeight="true" outlineLevel="0" collapsed="false">
      <c r="A26" s="4" t="s">
        <v>243</v>
      </c>
      <c r="B26" s="30" t="n">
        <f aca="false">Assumptions!B16</f>
        <v>0.0055</v>
      </c>
      <c r="C26" s="7"/>
    </row>
    <row r="27" customFormat="false" ht="26.25" hidden="false" customHeight="true" outlineLevel="0" collapsed="false">
      <c r="A27" s="4" t="s">
        <v>244</v>
      </c>
      <c r="B27" s="10" t="n">
        <f aca="false">'BOM &amp; Costing'!D6</f>
        <v>42000</v>
      </c>
      <c r="C27" s="5" t="s">
        <v>245</v>
      </c>
    </row>
    <row r="28" customFormat="false" ht="53.25" hidden="false" customHeight="true" outlineLevel="0" collapsed="false">
      <c r="A28" s="11" t="s">
        <v>246</v>
      </c>
      <c r="B28" s="12" t="n">
        <f aca="false">B19*25*(1-B26*12)-B27</f>
        <v>1062679.9480625</v>
      </c>
      <c r="C28" s="46" t="s">
        <v>247</v>
      </c>
    </row>
    <row r="29" customFormat="false" ht="26.25" hidden="false" customHeight="true" outlineLevel="0" collapsed="false">
      <c r="A29" s="3" t="s">
        <v>248</v>
      </c>
      <c r="B29" s="49" t="n">
        <f aca="false">B28/B22</f>
        <v>5.3041541752527</v>
      </c>
      <c r="C29" s="7"/>
    </row>
    <row r="31" customFormat="false" ht="54.75" hidden="false" customHeight="true" outlineLevel="0" collapsed="false">
      <c r="A31" s="32" t="s">
        <v>249</v>
      </c>
      <c r="B31" s="32"/>
      <c r="C31" s="32"/>
    </row>
  </sheetData>
  <mergeCells count="6">
    <mergeCell ref="A1:C1"/>
    <mergeCell ref="A3:C3"/>
    <mergeCell ref="A10:C10"/>
    <mergeCell ref="A21:C21"/>
    <mergeCell ref="A25:C25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6"/>
  </cols>
  <sheetData>
    <row r="1" customFormat="false" ht="15" hidden="false" customHeight="true" outlineLevel="0" collapsed="false">
      <c r="A1" s="2" t="s">
        <v>250</v>
      </c>
      <c r="B1" s="2"/>
      <c r="C1" s="2"/>
      <c r="D1" s="2"/>
      <c r="E1" s="2"/>
    </row>
    <row r="3" customFormat="false" ht="15" hidden="false" customHeight="true" outlineLevel="0" collapsed="false">
      <c r="A3" s="50" t="s">
        <v>251</v>
      </c>
      <c r="B3" s="51" t="n">
        <f aca="false">'Savings &amp; Financial'!B22</f>
        <v>200348.616</v>
      </c>
    </row>
    <row r="4" customFormat="false" ht="15" hidden="false" customHeight="true" outlineLevel="0" collapsed="false">
      <c r="A4" s="50" t="s">
        <v>252</v>
      </c>
      <c r="B4" s="52" t="n">
        <f aca="false">Assumptions!B7</f>
        <v>8</v>
      </c>
    </row>
    <row r="5" customFormat="false" ht="15" hidden="false" customHeight="true" outlineLevel="0" collapsed="false">
      <c r="A5" s="50" t="s">
        <v>253</v>
      </c>
      <c r="B5" s="52" t="n">
        <f aca="false">'Savings &amp; Financial'!B7</f>
        <v>6799.95</v>
      </c>
    </row>
    <row r="6" customFormat="false" ht="15" hidden="false" customHeight="true" outlineLevel="0" collapsed="false">
      <c r="A6" s="50" t="s">
        <v>229</v>
      </c>
      <c r="B6" s="53" t="n">
        <f aca="false">Assumptions!B19</f>
        <v>0.55</v>
      </c>
    </row>
    <row r="7" customFormat="false" ht="15" hidden="false" customHeight="true" outlineLevel="0" collapsed="false">
      <c r="A7" s="50" t="s">
        <v>254</v>
      </c>
      <c r="B7" s="54" t="n">
        <f aca="false">Assumptions!B20</f>
        <v>6.5</v>
      </c>
    </row>
    <row r="8" customFormat="false" ht="15" hidden="false" customHeight="true" outlineLevel="0" collapsed="false">
      <c r="A8" s="50" t="s">
        <v>255</v>
      </c>
      <c r="B8" s="51" t="n">
        <f aca="false">-Assumptions!B17</f>
        <v>-2500</v>
      </c>
    </row>
    <row r="10" customFormat="false" ht="15" hidden="false" customHeight="true" outlineLevel="0" collapsed="false">
      <c r="A10" s="6" t="s">
        <v>256</v>
      </c>
      <c r="B10" s="6"/>
      <c r="C10" s="6"/>
      <c r="D10" s="6"/>
      <c r="E10" s="6"/>
    </row>
    <row r="11" customFormat="false" ht="15" hidden="false" customHeight="true" outlineLevel="0" collapsed="false">
      <c r="A11" s="3" t="s">
        <v>257</v>
      </c>
      <c r="B11" s="55" t="s">
        <v>258</v>
      </c>
      <c r="C11" s="55" t="s">
        <v>259</v>
      </c>
      <c r="D11" s="55" t="s">
        <v>260</v>
      </c>
    </row>
    <row r="12" customFormat="false" ht="15" hidden="false" customHeight="true" outlineLevel="0" collapsed="false">
      <c r="A12" s="4" t="s">
        <v>261</v>
      </c>
      <c r="B12" s="29" t="n">
        <f aca="false">$B$3/(($B$5*$B$6*6.5)+($B$5*(1-$B$6)*$B$7)+$B$8)</f>
        <v>4.8045606110839</v>
      </c>
      <c r="C12" s="29" t="n">
        <f aca="false">$B$3/(($B$5*$B$6*8)+($B$5*(1-$B$6)*$B$7)+$B$8)</f>
        <v>4.23483760323974</v>
      </c>
      <c r="D12" s="29" t="n">
        <f aca="false">$B$3/(($B$5*$B$6*9.5)+($B$5*(1-$B$6)*$B$7)+$B$8)</f>
        <v>3.78590625012844</v>
      </c>
    </row>
    <row r="14" customFormat="false" ht="15" hidden="false" customHeight="true" outlineLevel="0" collapsed="false">
      <c r="A14" s="6" t="s">
        <v>262</v>
      </c>
      <c r="B14" s="6"/>
      <c r="C14" s="6"/>
      <c r="D14" s="6"/>
      <c r="E14" s="6"/>
    </row>
    <row r="15" customFormat="false" ht="15" hidden="false" customHeight="true" outlineLevel="0" collapsed="false">
      <c r="A15" s="3" t="s">
        <v>263</v>
      </c>
      <c r="B15" s="55" t="s">
        <v>264</v>
      </c>
      <c r="C15" s="55" t="s">
        <v>265</v>
      </c>
      <c r="D15" s="55" t="s">
        <v>266</v>
      </c>
    </row>
    <row r="16" customFormat="false" ht="15" hidden="false" customHeight="true" outlineLevel="0" collapsed="false">
      <c r="A16" s="4" t="s">
        <v>261</v>
      </c>
      <c r="B16" s="29" t="n">
        <f aca="false">$B$3/(($B$5*0.9*$B$6*$B$4)+($B$5*0.9*(1-$B$6)*$B$7)+$B$8)</f>
        <v>4.7331658241344</v>
      </c>
      <c r="C16" s="29" t="n">
        <f aca="false">$B$3/(($B$5*1*$B$6*$B$4)+($B$5*1*(1-$B$6)*$B$7)+$B$8)</f>
        <v>4.23483760323974</v>
      </c>
      <c r="D16" s="29" t="n">
        <f aca="false">$B$3/(($B$5*1.1*$B$6*$B$4)+($B$5*1.1*(1-$B$6)*$B$7)+$B$8)</f>
        <v>3.83144632143078</v>
      </c>
    </row>
    <row r="18" customFormat="false" ht="15" hidden="false" customHeight="true" outlineLevel="0" collapsed="false">
      <c r="A18" s="6" t="s">
        <v>267</v>
      </c>
      <c r="B18" s="6"/>
      <c r="C18" s="6"/>
      <c r="D18" s="6"/>
      <c r="E18" s="6"/>
    </row>
    <row r="19" customFormat="false" ht="15" hidden="false" customHeight="true" outlineLevel="0" collapsed="false">
      <c r="A19" s="3" t="s">
        <v>268</v>
      </c>
      <c r="B19" s="55" t="s">
        <v>264</v>
      </c>
      <c r="C19" s="55" t="s">
        <v>265</v>
      </c>
      <c r="D19" s="55" t="s">
        <v>266</v>
      </c>
    </row>
    <row r="20" customFormat="false" ht="15" hidden="false" customHeight="true" outlineLevel="0" collapsed="false">
      <c r="A20" s="4" t="s">
        <v>261</v>
      </c>
      <c r="B20" s="29" t="n">
        <f aca="false">($B$3*0.9)/(($B$5*$B$6*$B$4)+($B$5*(1-$B$6)*$B$7)+$B$8)</f>
        <v>3.81135384291577</v>
      </c>
      <c r="C20" s="29" t="n">
        <f aca="false">($B$3*1)/(($B$5*$B$6*$B$4)+($B$5*(1-$B$6)*$B$7)+$B$8)</f>
        <v>4.23483760323974</v>
      </c>
      <c r="D20" s="29" t="n">
        <f aca="false">($B$3*1.1)/(($B$5*$B$6*$B$4)+($B$5*(1-$B$6)*$B$7)+$B$8)</f>
        <v>4.65832136356372</v>
      </c>
    </row>
    <row r="22" customFormat="false" ht="39.75" hidden="false" customHeight="true" outlineLevel="0" collapsed="false">
      <c r="A22" s="32" t="s">
        <v>269</v>
      </c>
      <c r="B22" s="32"/>
      <c r="C22" s="32"/>
      <c r="D22" s="32"/>
      <c r="E22" s="32"/>
    </row>
  </sheetData>
  <mergeCells count="5">
    <mergeCell ref="A1:E1"/>
    <mergeCell ref="A10:E10"/>
    <mergeCell ref="A14:E14"/>
    <mergeCell ref="A18:E18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270</v>
      </c>
      <c r="B1" s="2"/>
      <c r="C1" s="2"/>
      <c r="D1" s="2"/>
      <c r="E1" s="2"/>
    </row>
    <row r="3" customFormat="false" ht="26.25" hidden="false" customHeight="true" outlineLevel="0" collapsed="false">
      <c r="A3" s="42" t="s">
        <v>271</v>
      </c>
      <c r="B3" s="42" t="s">
        <v>272</v>
      </c>
      <c r="C3" s="42" t="s">
        <v>273</v>
      </c>
      <c r="D3" s="42" t="s">
        <v>274</v>
      </c>
    </row>
    <row r="4" customFormat="false" ht="26.25" hidden="false" customHeight="true" outlineLevel="0" collapsed="false">
      <c r="A4" s="3" t="s">
        <v>275</v>
      </c>
      <c r="B4" s="4" t="s">
        <v>276</v>
      </c>
      <c r="C4" s="4" t="s">
        <v>277</v>
      </c>
      <c r="D4" s="4" t="s">
        <v>278</v>
      </c>
    </row>
    <row r="5" customFormat="false" ht="15" hidden="false" customHeight="true" outlineLevel="0" collapsed="false">
      <c r="A5" s="3" t="s">
        <v>279</v>
      </c>
      <c r="B5" s="4" t="s">
        <v>280</v>
      </c>
      <c r="C5" s="4" t="s">
        <v>281</v>
      </c>
      <c r="D5" s="4" t="s">
        <v>282</v>
      </c>
    </row>
    <row r="6" customFormat="false" ht="39" hidden="false" customHeight="true" outlineLevel="0" collapsed="false">
      <c r="A6" s="3" t="s">
        <v>283</v>
      </c>
      <c r="B6" s="4" t="s">
        <v>284</v>
      </c>
      <c r="C6" s="4" t="s">
        <v>285</v>
      </c>
      <c r="D6" s="4" t="s">
        <v>286</v>
      </c>
    </row>
    <row r="7" customFormat="false" ht="26.25" hidden="false" customHeight="true" outlineLevel="0" collapsed="false">
      <c r="A7" s="3" t="s">
        <v>130</v>
      </c>
      <c r="B7" s="4" t="s">
        <v>287</v>
      </c>
      <c r="C7" s="4" t="s">
        <v>288</v>
      </c>
      <c r="D7" s="4" t="s">
        <v>289</v>
      </c>
    </row>
    <row r="8" customFormat="false" ht="39" hidden="false" customHeight="true" outlineLevel="0" collapsed="false">
      <c r="A8" s="3" t="s">
        <v>290</v>
      </c>
      <c r="B8" s="4" t="s">
        <v>291</v>
      </c>
      <c r="C8" s="4" t="s">
        <v>292</v>
      </c>
      <c r="D8" s="4" t="s">
        <v>293</v>
      </c>
    </row>
    <row r="9" customFormat="false" ht="64.5" hidden="false" customHeight="true" outlineLevel="0" collapsed="false">
      <c r="A9" s="55" t="s">
        <v>294</v>
      </c>
      <c r="B9" s="56" t="s">
        <v>295</v>
      </c>
      <c r="C9" s="57" t="s">
        <v>296</v>
      </c>
      <c r="D9" s="57" t="s">
        <v>297</v>
      </c>
    </row>
    <row r="11" customFormat="false" ht="39.75" hidden="false" customHeight="true" outlineLevel="0" collapsed="false">
      <c r="A11" s="32" t="s">
        <v>298</v>
      </c>
      <c r="B11" s="32"/>
      <c r="C11" s="32"/>
      <c r="D11" s="32"/>
    </row>
  </sheetData>
  <mergeCells count="2">
    <mergeCell ref="A1:E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2026-09-12T18:01:03Z</dcterms:created>
  <dc:creator>openpyxl</dc:creator>
  <dc:description/>
  <dc:language>en-US</dc:language>
  <cp:lastModifiedBy/>
  <dcterms:modified xsi:type="dcterms:W3CDTF">2026-09-14T02:39:58Z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